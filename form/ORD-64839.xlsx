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snbv.sharepoint.com/teams/starchief/ST Klantdata/__ST klanten/_A.A.S. 1451 CRM opdrachten/"/>
    </mc:Choice>
  </mc:AlternateContent>
  <xr:revisionPtr revIDLastSave="0" documentId="8_{2C2A3A77-97A8-4280-9148-EEAD56ECEF6B}" xr6:coauthVersionLast="47" xr6:coauthVersionMax="47" xr10:uidLastSave="{00000000-0000-0000-0000-000000000000}"/>
  <workbookProtection workbookAlgorithmName="SHA-512" workbookHashValue="4CtSScRGOb7rjUIAwV20/Y5nbOVCdkRugKw+3UcM6idtkh8ZINzPj6t2fJTxvAD9aargvFypFs+dVyuLTi+D7A==" workbookSaltValue="CekaLMgD8MrNIH1u+kaXCA==" workbookSpinCount="100000" lockStructure="1"/>
  <bookViews>
    <workbookView xWindow="-108" yWindow="-108" windowWidth="23256" windowHeight="12456" firstSheet="1" activeTab="4" xr2:uid="{15C7085C-88AC-4616-92CC-7D0E25C01B5C}"/>
  </bookViews>
  <sheets>
    <sheet name="1. Start" sheetId="11" r:id="rId1"/>
    <sheet name="2. Explanation" sheetId="4" r:id="rId2"/>
    <sheet name="3. Contact" sheetId="1" r:id="rId3"/>
    <sheet name="4. FW Rules (1-15)" sheetId="3" r:id="rId4"/>
    <sheet name="4. FW Rules (extended 16-30)" sheetId="12" r:id="rId5"/>
    <sheet name="6. Version History" sheetId="8" r:id="rId6"/>
    <sheet name="Content" sheetId="2" state="hidden" r:id="rId7"/>
    <sheet name="Services" sheetId="9" state="hidden" r:id="rId8"/>
    <sheet name="16-30 OLD" sheetId="6"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8" i="12" l="1" a="1"/>
  <c r="V28" i="12" s="1"/>
  <c r="U28" i="12" a="1"/>
  <c r="U28" i="12" s="1"/>
  <c r="V27" i="12" a="1"/>
  <c r="V27" i="12" s="1"/>
  <c r="U27" i="12" a="1"/>
  <c r="U27" i="12" s="1"/>
  <c r="V26" i="12" a="1"/>
  <c r="V26" i="12" s="1"/>
  <c r="U26" i="12" a="1"/>
  <c r="U26" i="12" s="1"/>
  <c r="V25" i="12" a="1"/>
  <c r="V25" i="12" s="1"/>
  <c r="U25" i="12" a="1"/>
  <c r="U25" i="12" s="1"/>
  <c r="V24" i="12" a="1"/>
  <c r="V24" i="12" s="1"/>
  <c r="U24" i="12" a="1"/>
  <c r="U24" i="12" s="1"/>
  <c r="V23" i="12" a="1"/>
  <c r="V23" i="12" s="1"/>
  <c r="U23" i="12" a="1"/>
  <c r="U23" i="12" s="1"/>
  <c r="V22" i="12" a="1"/>
  <c r="V22" i="12" s="1"/>
  <c r="U22" i="12" a="1"/>
  <c r="U22" i="12" s="1"/>
  <c r="V21" i="12" a="1"/>
  <c r="V21" i="12" s="1"/>
  <c r="U21" i="12" a="1"/>
  <c r="U21" i="12" s="1"/>
  <c r="V20" i="12" a="1"/>
  <c r="V20" i="12" s="1"/>
  <c r="U20" i="12" a="1"/>
  <c r="U20" i="12" s="1"/>
  <c r="V19" i="12" a="1"/>
  <c r="V19" i="12" s="1"/>
  <c r="U19" i="12" a="1"/>
  <c r="U19" i="12" s="1"/>
  <c r="V18" i="12" a="1"/>
  <c r="V18" i="12" s="1"/>
  <c r="U18" i="12" a="1"/>
  <c r="U18" i="12" s="1"/>
  <c r="V17" i="12" a="1"/>
  <c r="V17" i="12" s="1"/>
  <c r="U17" i="12" a="1"/>
  <c r="U17" i="12" s="1"/>
  <c r="V16" i="12" a="1"/>
  <c r="V16" i="12" s="1"/>
  <c r="U16" i="12" a="1"/>
  <c r="U16" i="12" s="1"/>
  <c r="V15" i="12" a="1"/>
  <c r="V15" i="12" s="1"/>
  <c r="U15" i="12" a="1"/>
  <c r="U15" i="12" s="1"/>
  <c r="V14" i="12" a="1"/>
  <c r="V14" i="12" s="1"/>
  <c r="U14" i="12" a="1"/>
  <c r="U14" i="12" s="1"/>
  <c r="V13" i="12" a="1"/>
  <c r="V13" i="12" s="1"/>
  <c r="U13" i="12" a="1"/>
  <c r="U13" i="12" s="1"/>
  <c r="C28" i="6"/>
  <c r="C27" i="6"/>
  <c r="C26" i="6"/>
  <c r="C25" i="6"/>
  <c r="C24" i="6"/>
  <c r="C23" i="6"/>
  <c r="C22" i="6"/>
  <c r="C21" i="6"/>
  <c r="C20" i="6"/>
  <c r="C19" i="6"/>
  <c r="C18" i="6"/>
  <c r="C17" i="6"/>
  <c r="C16" i="6"/>
  <c r="C15" i="6"/>
  <c r="C14" i="6"/>
  <c r="F23" i="9"/>
  <c r="F22" i="9"/>
  <c r="F21" i="9"/>
  <c r="F20" i="9"/>
  <c r="F19" i="9"/>
  <c r="F18" i="9"/>
  <c r="F17" i="9"/>
  <c r="F16" i="9"/>
  <c r="F15" i="9"/>
  <c r="F14" i="9"/>
  <c r="F13" i="9"/>
  <c r="F12" i="9"/>
  <c r="F11" i="9"/>
  <c r="F10" i="9"/>
  <c r="F9" i="9"/>
  <c r="F8" i="9"/>
  <c r="F7" i="9"/>
  <c r="F6" i="9"/>
  <c r="F5" i="9"/>
  <c r="F4" i="9"/>
  <c r="F2" i="9"/>
  <c r="F24" i="9"/>
  <c r="U13" i="6" l="1" a="1"/>
  <c r="U13" i="6" s="1"/>
  <c r="T13" i="6" a="1"/>
  <c r="T13" i="6" s="1"/>
  <c r="U28" i="6" a="1"/>
  <c r="U28" i="6" s="1"/>
  <c r="U27" i="6" a="1"/>
  <c r="U27" i="6" s="1"/>
  <c r="U26" i="6" a="1"/>
  <c r="U26" i="6" s="1"/>
  <c r="U25" i="6" a="1"/>
  <c r="U25" i="6" s="1"/>
  <c r="U24" i="6" a="1"/>
  <c r="U24" i="6" s="1"/>
  <c r="U23" i="6" a="1"/>
  <c r="U23" i="6" s="1"/>
  <c r="U22" i="6" a="1"/>
  <c r="U22" i="6" s="1"/>
  <c r="U21" i="6" a="1"/>
  <c r="U21" i="6" s="1"/>
  <c r="U20" i="6" a="1"/>
  <c r="U20" i="6" s="1"/>
  <c r="U19" i="6" a="1"/>
  <c r="U19" i="6" s="1"/>
  <c r="U18" i="6" a="1"/>
  <c r="U18" i="6" s="1"/>
  <c r="U17" i="6" a="1"/>
  <c r="U17" i="6" s="1"/>
  <c r="U16" i="6" a="1"/>
  <c r="U16" i="6" s="1"/>
  <c r="U15" i="6" a="1"/>
  <c r="U15" i="6" s="1"/>
  <c r="U14" i="6" a="1"/>
  <c r="U14" i="6" s="1"/>
  <c r="T28" i="6" a="1"/>
  <c r="T28" i="6" s="1"/>
  <c r="T27" i="6" a="1"/>
  <c r="T27" i="6" s="1"/>
  <c r="T26" i="6" a="1"/>
  <c r="T26" i="6" s="1"/>
  <c r="T25" i="6" a="1"/>
  <c r="T25" i="6" s="1"/>
  <c r="T24" i="6" a="1"/>
  <c r="T24" i="6" s="1"/>
  <c r="T23" i="6" a="1"/>
  <c r="T23" i="6" s="1"/>
  <c r="T22" i="6" a="1"/>
  <c r="T22" i="6" s="1"/>
  <c r="T21" i="6" a="1"/>
  <c r="T21" i="6" s="1"/>
  <c r="T20" i="6" a="1"/>
  <c r="T20" i="6" s="1"/>
  <c r="T19" i="6" a="1"/>
  <c r="T19" i="6" s="1"/>
  <c r="T18" i="6" a="1"/>
  <c r="T18" i="6" s="1"/>
  <c r="T17" i="6" a="1"/>
  <c r="T17" i="6" s="1"/>
  <c r="T16" i="6" a="1"/>
  <c r="T16" i="6" s="1"/>
  <c r="T15" i="6" a="1"/>
  <c r="T15" i="6" s="1"/>
  <c r="T14" i="6" a="1"/>
  <c r="T14" i="6" s="1"/>
  <c r="V28" i="3" a="1"/>
  <c r="V28" i="3" s="1"/>
  <c r="V27" i="3" a="1"/>
  <c r="V27" i="3" s="1"/>
  <c r="V26" i="3" a="1"/>
  <c r="V26" i="3" s="1"/>
  <c r="V25" i="3" a="1"/>
  <c r="V25" i="3" s="1"/>
  <c r="V24" i="3" a="1"/>
  <c r="V24" i="3" s="1"/>
  <c r="V23" i="3" a="1"/>
  <c r="V23" i="3" s="1"/>
  <c r="V22" i="3" a="1"/>
  <c r="V22" i="3" s="1"/>
  <c r="V21" i="3" a="1"/>
  <c r="V21" i="3" s="1"/>
  <c r="V20" i="3" a="1"/>
  <c r="V20" i="3" s="1"/>
  <c r="V19" i="3" a="1"/>
  <c r="V19" i="3" s="1"/>
  <c r="V18" i="3" a="1"/>
  <c r="V18" i="3" s="1"/>
  <c r="V17" i="3" a="1"/>
  <c r="V17" i="3" s="1"/>
  <c r="V16" i="3" a="1"/>
  <c r="V16" i="3" s="1"/>
  <c r="V15" i="3" a="1"/>
  <c r="V15" i="3" s="1"/>
  <c r="V14" i="3" a="1"/>
  <c r="V14" i="3" s="1"/>
  <c r="U28" i="3" a="1"/>
  <c r="U28" i="3" s="1"/>
  <c r="U27" i="3" a="1"/>
  <c r="U27" i="3" s="1"/>
  <c r="U26" i="3" a="1"/>
  <c r="U26" i="3" s="1"/>
  <c r="U25" i="3" a="1"/>
  <c r="U25" i="3" s="1"/>
  <c r="U24" i="3" a="1"/>
  <c r="U24" i="3" s="1"/>
  <c r="U23" i="3" a="1"/>
  <c r="U23" i="3" s="1"/>
  <c r="U22" i="3" a="1"/>
  <c r="U22" i="3" s="1"/>
  <c r="U21" i="3" a="1"/>
  <c r="U21" i="3" s="1"/>
  <c r="U20" i="3" a="1"/>
  <c r="U20" i="3" s="1"/>
  <c r="U19" i="3" a="1"/>
  <c r="U19" i="3" s="1"/>
  <c r="U18" i="3" a="1"/>
  <c r="U18" i="3" s="1"/>
  <c r="U17" i="3" a="1"/>
  <c r="U17" i="3" s="1"/>
  <c r="U16" i="3" a="1"/>
  <c r="U16" i="3" s="1"/>
  <c r="U15" i="3" a="1"/>
  <c r="U15" i="3" s="1"/>
  <c r="U14" i="3" a="1"/>
  <c r="U14" i="3" s="1"/>
  <c r="U13" i="3" a="1"/>
  <c r="U13" i="3" s="1"/>
  <c r="V13" i="3" a="1"/>
  <c r="V1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Hofstede, Lydell</author>
    <author>Graaf, Richard van der</author>
  </authors>
  <commentList>
    <comment ref="D12" authorId="0" shapeId="0" xr:uid="{198694D3-3EEC-4FB0-AF46-BB3F5B970086}">
      <text>
        <r>
          <rPr>
            <sz val="9"/>
            <color indexed="81"/>
            <rFont val="Tahoma"/>
            <family val="2"/>
          </rPr>
          <t>(1) Please submit this FW change form via the IT Webshop.
(2) The form will only be processed if all mandatory fields are filled in.
(3) The form will only be processed if all fields are correctly filled in as described under the explanation tab.
(4) The form will only be processed if the latest version is used.
(5) Questions regarding how to fill in this form, please contact us via  fw-intake@schiphol.nl
(6) A firewall change may be split in several subtasks and forwarded to both ST and ET.  
(7) Additional information on how to fill the form, please turn to the Explanation sheet below.</t>
        </r>
      </text>
    </comment>
    <comment ref="E21" authorId="1" shapeId="0" xr:uid="{FDA35806-5659-4C20-A529-C1B9CCCE1EAB}">
      <text>
        <r>
          <rPr>
            <b/>
            <sz val="9"/>
            <color indexed="81"/>
            <rFont val="Tahoma"/>
            <family val="2"/>
          </rPr>
          <t>Link to design document for more context.</t>
        </r>
      </text>
    </comment>
    <comment ref="E23" authorId="1" shapeId="0" xr:uid="{0A045CCD-6E98-415C-A8E1-70E1795E5443}">
      <text>
        <r>
          <rPr>
            <b/>
            <sz val="9"/>
            <color indexed="81"/>
            <rFont val="Tahoma"/>
            <family val="2"/>
          </rPr>
          <t>PASSWORD PROTECT if YES!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Graaf, Richard van der</author>
  </authors>
  <commentList>
    <comment ref="E8" authorId="0" shapeId="0" xr:uid="{91782295-CD00-4F9B-B750-B87002815485}">
      <text>
        <r>
          <rPr>
            <b/>
            <sz val="9"/>
            <color indexed="81"/>
            <rFont val="Tahoma"/>
            <family val="2"/>
          </rPr>
          <t xml:space="preserve">The indicator gives more information on the field.
</t>
        </r>
      </text>
    </comment>
    <comment ref="U11" authorId="0" shapeId="0" xr:uid="{11D39A11-1AE7-4EBB-994F-4C9E77DE8511}">
      <text>
        <r>
          <rPr>
            <sz val="9"/>
            <color indexed="81"/>
            <rFont val="Tahoma"/>
            <family val="2"/>
          </rPr>
          <t xml:space="preserve">Applicable for the IT Servicedesk only.
</t>
        </r>
      </text>
    </comment>
    <comment ref="C12" authorId="0" shapeId="0" xr:uid="{DCFDEE99-6791-4A35-9B0D-B7F7AE8E4436}">
      <text>
        <r>
          <rPr>
            <b/>
            <sz val="9"/>
            <color indexed="81"/>
            <rFont val="Tahoma"/>
            <family val="2"/>
          </rPr>
          <t>MUST: Description may including short application name &amp; environment.</t>
        </r>
      </text>
    </comment>
    <comment ref="D12" authorId="0" shapeId="0" xr:uid="{B9DEA1CE-F4C0-46A6-9922-E91D3E0D613D}">
      <text>
        <r>
          <rPr>
            <b/>
            <sz val="9"/>
            <color indexed="81"/>
            <rFont val="Tahoma"/>
            <family val="2"/>
          </rPr>
          <t>MUST: Application number here. Used for tagging firewall rules!</t>
        </r>
        <r>
          <rPr>
            <sz val="9"/>
            <color indexed="81"/>
            <rFont val="Tahoma"/>
            <family val="2"/>
          </rPr>
          <t xml:space="preserve">
</t>
        </r>
      </text>
    </comment>
    <comment ref="E12" authorId="0" shapeId="0" xr:uid="{75FEFAFC-3319-4A31-9C53-B5FD78672112}">
      <text>
        <r>
          <rPr>
            <b/>
            <sz val="9"/>
            <color indexed="81"/>
            <rFont val="Tahoma"/>
            <family val="2"/>
          </rPr>
          <t xml:space="preserve">MUST:
GREEN: Valid IP-address.
ORANGE: IP Range --&gt; Manual Check by SD.
VPN Global Protect --&gt; Contact Managed Devices.
</t>
        </r>
      </text>
    </comment>
    <comment ref="F12" authorId="0" shapeId="0" xr:uid="{1113BE5A-F385-43DA-A553-8DF0DCF8992D}">
      <text>
        <r>
          <rPr>
            <b/>
            <sz val="9"/>
            <color indexed="81"/>
            <rFont val="Tahoma"/>
            <family val="2"/>
          </rPr>
          <t>MUST: 
The FQDN or EPG of the device/domain
that initiates the connection.</t>
        </r>
      </text>
    </comment>
    <comment ref="G12" authorId="0" shapeId="0" xr:uid="{EAFBC5E2-1C44-4DE5-9F27-40B0CC45731B}">
      <text>
        <r>
          <rPr>
            <sz val="9"/>
            <color indexed="81"/>
            <rFont val="Tahoma"/>
            <family val="2"/>
          </rPr>
          <t xml:space="preserve">Source Network Zone (optional).
</t>
        </r>
      </text>
    </comment>
    <comment ref="I12" authorId="0" shapeId="0" xr:uid="{97432936-FA8A-47A6-BF6A-D13C20781AB2}">
      <text>
        <r>
          <rPr>
            <b/>
            <sz val="9"/>
            <color indexed="81"/>
            <rFont val="Tahoma"/>
            <family val="2"/>
          </rPr>
          <t>Only for Global Protect VPN access. 
MS AD Group access name.</t>
        </r>
      </text>
    </comment>
    <comment ref="J12" authorId="0" shapeId="0" xr:uid="{2A9EFD22-A88B-40F8-8D75-CCE8D3DE97B1}">
      <text>
        <r>
          <rPr>
            <b/>
            <sz val="9"/>
            <color indexed="81"/>
            <rFont val="Tahoma"/>
            <family val="2"/>
          </rPr>
          <t>CI nr of the reached application.</t>
        </r>
      </text>
    </comment>
    <comment ref="K12" authorId="0" shapeId="0" xr:uid="{0422DB54-B7B3-4C04-AFD0-DF3C5A225A93}">
      <text>
        <r>
          <rPr>
            <b/>
            <sz val="9"/>
            <color indexed="81"/>
            <rFont val="Tahoma"/>
            <family val="2"/>
          </rPr>
          <t>MUST:
GREEN: Valid IP-address
ORANGE: IP-Range --&gt; Manual check by SD.</t>
        </r>
      </text>
    </comment>
    <comment ref="L12" authorId="0" shapeId="0" xr:uid="{BC1EC133-3C1A-47D9-92F1-AC7BA8E51F0B}">
      <text>
        <r>
          <rPr>
            <b/>
            <sz val="9"/>
            <color indexed="81"/>
            <rFont val="Tahoma"/>
            <family val="2"/>
          </rPr>
          <t xml:space="preserve">MUST: 
Internet URL or Public Azure Endpoint? --&gt; Use the Forwarding Proxy service!
</t>
        </r>
      </text>
    </comment>
    <comment ref="M12" authorId="0" shapeId="0" xr:uid="{8C8DC214-9238-4BA9-AEFF-DEC0DE01538D}">
      <text>
        <r>
          <rPr>
            <b/>
            <sz val="9"/>
            <color indexed="81"/>
            <rFont val="Tahoma"/>
            <family val="2"/>
          </rPr>
          <t xml:space="preserve">Destination Network Zone (optional).
</t>
        </r>
      </text>
    </comment>
    <comment ref="N12" authorId="0" shapeId="0" xr:uid="{21987C9F-7E69-445B-AC9D-AA662CAA60AF}">
      <text>
        <r>
          <rPr>
            <b/>
            <sz val="9"/>
            <color indexed="81"/>
            <rFont val="Tahoma"/>
            <family val="2"/>
          </rPr>
          <t>Select the needed network service with this rule.</t>
        </r>
      </text>
    </comment>
    <comment ref="O12" authorId="0" shapeId="0" xr:uid="{E8488EB6-0103-45D9-AD2D-965C51FFA315}">
      <text>
        <r>
          <rPr>
            <b/>
            <sz val="9"/>
            <color indexed="81"/>
            <rFont val="Tahoma"/>
            <family val="2"/>
          </rPr>
          <t>MUST: Transport protocol. Either TCP, UDP or ICMP.</t>
        </r>
      </text>
    </comment>
    <comment ref="P12" authorId="0" shapeId="0" xr:uid="{BC998E09-9165-4C11-A3D7-3E5841553303}">
      <text>
        <r>
          <rPr>
            <b/>
            <sz val="9"/>
            <color indexed="81"/>
            <rFont val="Tahoma"/>
            <family val="2"/>
          </rPr>
          <t>MUST: Serviceports of the application. Max 5 Ports per Rule.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Graaf, Richard van der</author>
  </authors>
  <commentList>
    <comment ref="E8" authorId="0" shapeId="0" xr:uid="{16E946E0-5B8C-4CD9-A7AE-B143ACC022CE}">
      <text>
        <r>
          <rPr>
            <b/>
            <sz val="9"/>
            <color indexed="81"/>
            <rFont val="Tahoma"/>
            <family val="2"/>
          </rPr>
          <t xml:space="preserve">The indicator gives more information on the field.
</t>
        </r>
      </text>
    </comment>
    <comment ref="U11" authorId="0" shapeId="0" xr:uid="{5F643EAF-317B-463A-B2C8-1E11FD9F1A5F}">
      <text>
        <r>
          <rPr>
            <sz val="9"/>
            <color indexed="81"/>
            <rFont val="Tahoma"/>
            <family val="2"/>
          </rPr>
          <t xml:space="preserve">Applicable for the IT Servicedesk only.
</t>
        </r>
      </text>
    </comment>
    <comment ref="C12" authorId="0" shapeId="0" xr:uid="{3A921CC5-174C-4F48-AE9F-F925543EB1BC}">
      <text>
        <r>
          <rPr>
            <b/>
            <sz val="9"/>
            <color indexed="81"/>
            <rFont val="Tahoma"/>
            <family val="2"/>
          </rPr>
          <t>MUST: Description may including short application name &amp; environment.</t>
        </r>
      </text>
    </comment>
    <comment ref="D12" authorId="0" shapeId="0" xr:uid="{05ADD877-5D6C-4107-ACDD-BDD407651A40}">
      <text>
        <r>
          <rPr>
            <b/>
            <sz val="9"/>
            <color indexed="81"/>
            <rFont val="Tahoma"/>
            <family val="2"/>
          </rPr>
          <t>MUST: Application number here. Used for tagging firewall rules!</t>
        </r>
        <r>
          <rPr>
            <sz val="9"/>
            <color indexed="81"/>
            <rFont val="Tahoma"/>
            <family val="2"/>
          </rPr>
          <t xml:space="preserve">
</t>
        </r>
      </text>
    </comment>
    <comment ref="E12" authorId="0" shapeId="0" xr:uid="{ABF98A6E-8587-42A5-8F54-F13E371D12DF}">
      <text>
        <r>
          <rPr>
            <b/>
            <sz val="9"/>
            <color indexed="81"/>
            <rFont val="Tahoma"/>
            <family val="2"/>
          </rPr>
          <t xml:space="preserve">MUST:
GREEN: Valid IP-address.
ORANGE: IP Range --&gt; Manual Check by SD.
VPN Global Protect --&gt; Contact Managed Devices.
</t>
        </r>
      </text>
    </comment>
    <comment ref="F12" authorId="0" shapeId="0" xr:uid="{811CFDCE-5C5F-4A4C-AE04-B61BE54E30AB}">
      <text>
        <r>
          <rPr>
            <b/>
            <sz val="9"/>
            <color indexed="81"/>
            <rFont val="Tahoma"/>
            <family val="2"/>
          </rPr>
          <t>MUST: 
The FQDN or EPG of the device/domain
that initiates the connection.</t>
        </r>
      </text>
    </comment>
    <comment ref="G12" authorId="0" shapeId="0" xr:uid="{42C2C8C1-C56E-4AB9-A68F-C8B6A70C3825}">
      <text>
        <r>
          <rPr>
            <sz val="9"/>
            <color indexed="81"/>
            <rFont val="Tahoma"/>
            <family val="2"/>
          </rPr>
          <t xml:space="preserve">Source Network Zone (optional).
</t>
        </r>
      </text>
    </comment>
    <comment ref="I12" authorId="0" shapeId="0" xr:uid="{E43B10A0-E8D0-4339-A434-42B57627ABE6}">
      <text>
        <r>
          <rPr>
            <b/>
            <sz val="9"/>
            <color indexed="81"/>
            <rFont val="Tahoma"/>
            <family val="2"/>
          </rPr>
          <t>Only for Global Protect VPN access. 
MS AD Group access name.</t>
        </r>
      </text>
    </comment>
    <comment ref="J12" authorId="0" shapeId="0" xr:uid="{7103173B-1EC8-4DB7-A4B4-B4699CD93FA2}">
      <text>
        <r>
          <rPr>
            <b/>
            <sz val="9"/>
            <color indexed="81"/>
            <rFont val="Tahoma"/>
            <family val="2"/>
          </rPr>
          <t>CI nr of the reached application.</t>
        </r>
      </text>
    </comment>
    <comment ref="K12" authorId="0" shapeId="0" xr:uid="{09E7B557-06D5-4DA8-8CD7-05B8F7818005}">
      <text>
        <r>
          <rPr>
            <b/>
            <sz val="9"/>
            <color indexed="81"/>
            <rFont val="Tahoma"/>
            <family val="2"/>
          </rPr>
          <t>MUST:
GREEN: Valid IP-address
ORANGE: IP-Range --&gt; Manual check by SD.</t>
        </r>
      </text>
    </comment>
    <comment ref="L12" authorId="0" shapeId="0" xr:uid="{51251F72-C521-4244-B2F8-6F03D28E49D4}">
      <text>
        <r>
          <rPr>
            <b/>
            <sz val="9"/>
            <color indexed="81"/>
            <rFont val="Tahoma"/>
            <family val="2"/>
          </rPr>
          <t xml:space="preserve">MUST: 
Internet URL or Public Azure Endpoint? --&gt; Use the Forwarding Proxy service!
</t>
        </r>
      </text>
    </comment>
    <comment ref="M12" authorId="0" shapeId="0" xr:uid="{AC323C49-E704-4B93-B095-AE4F634A8344}">
      <text>
        <r>
          <rPr>
            <b/>
            <sz val="9"/>
            <color indexed="81"/>
            <rFont val="Tahoma"/>
            <family val="2"/>
          </rPr>
          <t xml:space="preserve">Destination Network Zone (optional).
</t>
        </r>
      </text>
    </comment>
    <comment ref="N12" authorId="0" shapeId="0" xr:uid="{02A12373-6B7E-48E5-B396-3CFBBB593C6A}">
      <text>
        <r>
          <rPr>
            <b/>
            <sz val="9"/>
            <color indexed="81"/>
            <rFont val="Tahoma"/>
            <family val="2"/>
          </rPr>
          <t>Select the needed network service with this rule.</t>
        </r>
      </text>
    </comment>
    <comment ref="O12" authorId="0" shapeId="0" xr:uid="{576E6486-C90A-4DD0-85E1-06F96F0AE1A8}">
      <text>
        <r>
          <rPr>
            <b/>
            <sz val="9"/>
            <color indexed="81"/>
            <rFont val="Tahoma"/>
            <family val="2"/>
          </rPr>
          <t>MUST: Transport protocol. Either TCP, UDP or ICMP.</t>
        </r>
      </text>
    </comment>
    <comment ref="P12" authorId="0" shapeId="0" xr:uid="{FB6B24FC-4F5E-4F2C-9BE5-4A81DE269C89}">
      <text>
        <r>
          <rPr>
            <b/>
            <sz val="9"/>
            <color indexed="81"/>
            <rFont val="Tahoma"/>
            <family val="2"/>
          </rPr>
          <t>MUST: Serviceports of the application. Max 5 Ports per Rule.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Graaf, Richard van der</author>
  </authors>
  <commentList>
    <comment ref="E8" authorId="0" shapeId="0" xr:uid="{169507D8-F784-4E88-AD4F-25E684D18A49}">
      <text>
        <r>
          <rPr>
            <b/>
            <sz val="9"/>
            <color indexed="81"/>
            <rFont val="Tahoma"/>
            <family val="2"/>
          </rPr>
          <t xml:space="preserve">The indicator gives more information on the field.
</t>
        </r>
      </text>
    </comment>
    <comment ref="T11" authorId="0" shapeId="0" xr:uid="{9A545D88-3658-4F45-BDCB-7A4902C3AD79}">
      <text>
        <r>
          <rPr>
            <sz val="9"/>
            <color indexed="81"/>
            <rFont val="Tahoma"/>
            <family val="2"/>
          </rPr>
          <t xml:space="preserve">Applicable for the IT Servicedesk only.
</t>
        </r>
      </text>
    </comment>
    <comment ref="C12" authorId="0" shapeId="0" xr:uid="{D6C6E0AE-03F8-4AD4-B427-A5197196A540}">
      <text>
        <r>
          <rPr>
            <b/>
            <sz val="9"/>
            <color indexed="81"/>
            <rFont val="Tahoma"/>
            <family val="2"/>
          </rPr>
          <t>MUST: Application CI nr here. Used for tagging firewall rules!</t>
        </r>
        <r>
          <rPr>
            <sz val="9"/>
            <color indexed="81"/>
            <rFont val="Tahoma"/>
            <family val="2"/>
          </rPr>
          <t xml:space="preserve">
</t>
        </r>
      </text>
    </comment>
    <comment ref="D12" authorId="0" shapeId="0" xr:uid="{23B112A2-292B-436F-BE5D-89069B5EEA90}">
      <text>
        <r>
          <rPr>
            <b/>
            <sz val="9"/>
            <color indexed="81"/>
            <rFont val="Tahoma"/>
            <family val="2"/>
          </rPr>
          <t>Must: Description may including short application name &amp; environment.</t>
        </r>
      </text>
    </comment>
    <comment ref="E12" authorId="0" shapeId="0" xr:uid="{6FD64595-6E7B-4B60-A8AE-0DA46A0DA69E}">
      <text>
        <r>
          <rPr>
            <b/>
            <sz val="9"/>
            <color indexed="81"/>
            <rFont val="Tahoma"/>
            <family val="2"/>
          </rPr>
          <t>Must: 
GREEN: Valid IP-address.
ORANGE: IP Range --&gt; Manual Check by SD.
VPN Global Protect range --&gt; Contact Managed Devices.</t>
        </r>
      </text>
    </comment>
    <comment ref="F12" authorId="0" shapeId="0" xr:uid="{8844B95A-9716-4504-B291-B33AA55B7077}">
      <text>
        <r>
          <rPr>
            <b/>
            <sz val="9"/>
            <color indexed="81"/>
            <rFont val="Tahoma"/>
            <family val="2"/>
          </rPr>
          <t>Must: The FQDN or EPG of the device/domain
that initiates the connection.</t>
        </r>
      </text>
    </comment>
    <comment ref="G12" authorId="0" shapeId="0" xr:uid="{81B3AB03-E18D-4104-8D5C-7CB736BDF24F}">
      <text>
        <r>
          <rPr>
            <sz val="9"/>
            <color indexed="81"/>
            <rFont val="Tahoma"/>
            <family val="2"/>
          </rPr>
          <t xml:space="preserve">Source Network Zone (optional).
</t>
        </r>
      </text>
    </comment>
    <comment ref="H12" authorId="0" shapeId="0" xr:uid="{437840AC-C254-45EB-8A97-487608A44DAE}">
      <text>
        <r>
          <rPr>
            <b/>
            <sz val="9"/>
            <color indexed="81"/>
            <rFont val="Tahoma"/>
            <family val="2"/>
          </rPr>
          <t>When using Azure cloud and firewall.</t>
        </r>
        <r>
          <rPr>
            <sz val="9"/>
            <color indexed="81"/>
            <rFont val="Tahoma"/>
            <family val="2"/>
          </rPr>
          <t xml:space="preserve">
</t>
        </r>
      </text>
    </comment>
    <comment ref="I12" authorId="0" shapeId="0" xr:uid="{A3891A9F-4095-404B-8DE6-799DBEDEEB7F}">
      <text>
        <r>
          <rPr>
            <b/>
            <sz val="9"/>
            <color indexed="81"/>
            <rFont val="Tahoma"/>
            <family val="2"/>
          </rPr>
          <t>Only for Global Protect VPN Access: MS AD Group access name.</t>
        </r>
      </text>
    </comment>
    <comment ref="J12" authorId="0" shapeId="0" xr:uid="{20A6BC5E-27B7-4511-AD09-3C810A5A6478}">
      <text>
        <r>
          <rPr>
            <b/>
            <sz val="9"/>
            <color indexed="81"/>
            <rFont val="Tahoma"/>
            <family val="2"/>
          </rPr>
          <t>Must: GREEN: Valid IP-address
ORANGE: IP-Range --&gt; Manual check by SD.</t>
        </r>
      </text>
    </comment>
    <comment ref="K12" authorId="0" shapeId="0" xr:uid="{23AFCFA6-056A-41C5-A181-B4B0364A33B2}">
      <text>
        <r>
          <rPr>
            <b/>
            <sz val="9"/>
            <color indexed="81"/>
            <rFont val="Tahoma"/>
            <family val="2"/>
          </rPr>
          <t xml:space="preserve">Must: 
Internet URL or Public Azure Endpoint? --&gt; Use the Forwarding Proxy service!
</t>
        </r>
      </text>
    </comment>
    <comment ref="L12" authorId="0" shapeId="0" xr:uid="{2E421006-A273-4BBF-86EA-BDC97108C6DC}">
      <text>
        <r>
          <rPr>
            <b/>
            <sz val="9"/>
            <color indexed="81"/>
            <rFont val="Tahoma"/>
            <family val="2"/>
          </rPr>
          <t xml:space="preserve">Destination Network Zone (optional).
</t>
        </r>
      </text>
    </comment>
    <comment ref="M12" authorId="0" shapeId="0" xr:uid="{68E6FB3E-C93F-457B-94C5-0E2B7EAFCCA9}">
      <text>
        <r>
          <rPr>
            <b/>
            <sz val="9"/>
            <color indexed="81"/>
            <rFont val="Tahoma"/>
            <family val="2"/>
          </rPr>
          <t>Select the needed network service with this rule.</t>
        </r>
      </text>
    </comment>
    <comment ref="N12" authorId="0" shapeId="0" xr:uid="{BD18B572-5C04-4BAC-A6AE-863A34DAF1FE}">
      <text>
        <r>
          <rPr>
            <b/>
            <sz val="9"/>
            <color indexed="81"/>
            <rFont val="Tahoma"/>
            <family val="2"/>
          </rPr>
          <t>Must: Transport protocol. Either TCP, UDP or ICMP.</t>
        </r>
      </text>
    </comment>
    <comment ref="O12" authorId="0" shapeId="0" xr:uid="{C6A8EF08-D0F3-4261-9C49-FD4AC35CBAEB}">
      <text>
        <r>
          <rPr>
            <b/>
            <sz val="9"/>
            <color indexed="81"/>
            <rFont val="Tahoma"/>
            <family val="2"/>
          </rPr>
          <t>Must: Serviceports of the application. Max 5 ports per fw rule.</t>
        </r>
      </text>
    </comment>
    <comment ref="P12" authorId="0" shapeId="0" xr:uid="{4CBB4462-9BFD-4F96-A95B-24B574E9622C}">
      <text>
        <r>
          <rPr>
            <b/>
            <sz val="9"/>
            <color indexed="81"/>
            <rFont val="Tahoma"/>
            <family val="2"/>
          </rPr>
          <t>Traffic allow or deny?</t>
        </r>
        <r>
          <rPr>
            <sz val="9"/>
            <color indexed="81"/>
            <rFont val="Tahoma"/>
            <family val="2"/>
          </rPr>
          <t xml:space="preserve">
</t>
        </r>
      </text>
    </comment>
    <comment ref="Q12" authorId="0" shapeId="0" xr:uid="{D4591A51-720C-4A26-8397-06BBA3945C8C}">
      <text>
        <r>
          <rPr>
            <b/>
            <sz val="9"/>
            <color indexed="81"/>
            <rFont val="Tahoma"/>
            <family val="2"/>
          </rPr>
          <t>Rule is temporary or persistent?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<sst xmlns="http://schemas.openxmlformats.org/spreadsheetml/2006/main" count="705" uniqueCount="304">
  <si>
    <t>Firewall Change Form 1.6.0</t>
  </si>
  <si>
    <t>Date: April 2026</t>
  </si>
  <si>
    <t>PLEASE READ THE EXPLANATION SHEET FIRST PRIOR TO SUBMITTING THE CHANGE!</t>
  </si>
  <si>
    <t>Download for offline use, Save As…</t>
  </si>
  <si>
    <t>Field Explanation overview</t>
  </si>
  <si>
    <t>Field</t>
  </si>
  <si>
    <t>Description</t>
  </si>
  <si>
    <t>Example</t>
  </si>
  <si>
    <t>Clear and meaningful description for this rule.</t>
  </si>
  <si>
    <t>Appl_Asset_Prod to App_Asset_Prod</t>
  </si>
  <si>
    <t>This rule applies to this source application. Used for tagging firewall rules!</t>
  </si>
  <si>
    <t>Source IP-address(es). The source that initiates the connection. Can be a range</t>
  </si>
  <si>
    <t>10.2.4.6;  10.226.1.1/8</t>
  </si>
  <si>
    <t>For VPN Global Protect ranges, please contact the Managed Devices team.</t>
  </si>
  <si>
    <t>FQDN or EPG name of the source that initiates the connection. As specific as possible</t>
  </si>
  <si>
    <t>server-name.domein.net</t>
  </si>
  <si>
    <r>
      <t xml:space="preserve">Network Zone </t>
    </r>
    <r>
      <rPr>
        <b/>
        <sz val="8"/>
        <color theme="1"/>
        <rFont val="RSG Variable B04"/>
        <family val="2"/>
      </rPr>
      <t>(2)</t>
    </r>
  </si>
  <si>
    <t>[OPTIONAL] From the zoning architecture: What is the Source Zone.</t>
  </si>
  <si>
    <t>Asset Group: Generic Asset</t>
  </si>
  <si>
    <t>Azure Service Tag</t>
  </si>
  <si>
    <t>When the resource is within the Schiphol Azure Cloud and using Azure Firewalls.</t>
  </si>
  <si>
    <t>Groep ID / MS AD</t>
  </si>
  <si>
    <t>Only for Global Protect VPN configuration. Contact Managed Devices for Group ID.</t>
  </si>
  <si>
    <t xml:space="preserve">G-S-NW-VP-I-ST-NS-OCD-VPN-Test </t>
  </si>
  <si>
    <t>This rule applies to this destination application. Used for tagging firewall rules!</t>
  </si>
  <si>
    <t>Destination IP-address(es). The destination of the connection. Can be a range</t>
  </si>
  <si>
    <t>10.2.4.6; 10.2.4.6/8</t>
  </si>
  <si>
    <t>FQDN or EPG name of the destination of the connection. As specific as possible</t>
  </si>
  <si>
    <t>[OPTIONAL] From the zoning architecture: What is the target Zone.</t>
  </si>
  <si>
    <t>Enterprise Application: Generic</t>
  </si>
  <si>
    <t>Network application/service</t>
  </si>
  <si>
    <t>Describe the network application.</t>
  </si>
  <si>
    <t>https</t>
  </si>
  <si>
    <t>This is NOT the Schiphol application as noted on sheet 3:Contact!</t>
  </si>
  <si>
    <t>What is the transport protocol: TCP and/or UDP, ICMP</t>
  </si>
  <si>
    <t>TCP</t>
  </si>
  <si>
    <t>The serviceports on which the application is listing. Max 5 ports per fw rule.</t>
  </si>
  <si>
    <t>443, 8080, 8443</t>
  </si>
  <si>
    <t>Is the traffic permitted or denied through this firewall rule?</t>
  </si>
  <si>
    <t>Permit or Deny</t>
  </si>
  <si>
    <t>Is this rule for ever of short lived (min 1 year)</t>
  </si>
  <si>
    <t>Yes or No</t>
  </si>
  <si>
    <t>Sheet Contact</t>
  </si>
  <si>
    <t>Use this sheet to fill-in all the necessary contact &amp; administration information.</t>
  </si>
  <si>
    <t xml:space="preserve">Role select: For future use now. Optional  </t>
  </si>
  <si>
    <t>Please provide a link to your application/service design for a better understanding of this change.</t>
  </si>
  <si>
    <t>Sheet FW rules</t>
  </si>
  <si>
    <t>This sheet serves as the input for parsing the code for use in the automation process. Please follow the guidelines as described above!</t>
  </si>
  <si>
    <t>IP Address(es) validation: GREEN = One Valid IP address, ORANGE = IP Range &amp; Manual check by SCT SI</t>
  </si>
  <si>
    <t>Using a Public Internet URL or Public Azure Endpoint as destination? Then a forwarding proxy is needed!</t>
  </si>
  <si>
    <t>Regarding ports numbers, please follow the Internet standards. So HTTPS = 443</t>
  </si>
  <si>
    <t xml:space="preserve"> </t>
  </si>
  <si>
    <t>Regarding protocol &amp; ports numbers, serviceports are of the same protocol (TCP or UDP). No mixing.</t>
  </si>
  <si>
    <t>DNS names should be as specific and restrictive as possible. E.g. microsoft.com is too broad.</t>
  </si>
  <si>
    <t>A maximum of 30 firewall rules is allowed per change request. Please use the Extended sheet for adding more rules (&lt;30).</t>
  </si>
  <si>
    <t>Contact Information</t>
  </si>
  <si>
    <t>Organisation *</t>
  </si>
  <si>
    <t>1451 - Schiphol Group T/ICT</t>
  </si>
  <si>
    <t>Contact person for execution (If different from requestor)</t>
  </si>
  <si>
    <t>Department *</t>
  </si>
  <si>
    <t>Phone number</t>
  </si>
  <si>
    <t>Application Owner</t>
  </si>
  <si>
    <t>E-mail</t>
  </si>
  <si>
    <t>Cost Centre *</t>
  </si>
  <si>
    <t>Customer MPS *</t>
  </si>
  <si>
    <t>Sent on *</t>
  </si>
  <si>
    <t>Projectnumber</t>
  </si>
  <si>
    <t>Desired delivery date</t>
  </si>
  <si>
    <t>Requestor *</t>
  </si>
  <si>
    <t>Phone number *</t>
  </si>
  <si>
    <t>Change type</t>
  </si>
  <si>
    <t>Add rule(s)</t>
  </si>
  <si>
    <t>Requestor role</t>
  </si>
  <si>
    <t>E-mail *</t>
  </si>
  <si>
    <t>Link to Design</t>
  </si>
  <si>
    <t>Manager *</t>
  </si>
  <si>
    <t>EES / SSPC Change</t>
  </si>
  <si>
    <t>No</t>
  </si>
  <si>
    <t>* Mandatory field</t>
  </si>
  <si>
    <t>Template information</t>
  </si>
  <si>
    <t>Please hover over the i-icon and read for additional information.</t>
  </si>
  <si>
    <t>Version</t>
  </si>
  <si>
    <t>1.6.0 (latest, Check Version History tab)</t>
  </si>
  <si>
    <t>Date</t>
  </si>
  <si>
    <t>Author</t>
  </si>
  <si>
    <t>fw-intake@schiphol.nl</t>
  </si>
  <si>
    <t>Check the red indicator</t>
  </si>
  <si>
    <t>SOURCE INFORMATION</t>
  </si>
  <si>
    <t>DESTINATION INFORMATION</t>
  </si>
  <si>
    <t>FOR SCT SI DESK ONLY</t>
  </si>
  <si>
    <t>Row</t>
  </si>
  <si>
    <t>Src. Appl. CI nr</t>
  </si>
  <si>
    <t>Source IP adress(es)</t>
  </si>
  <si>
    <t>DNS name or EPG</t>
  </si>
  <si>
    <t>Network Zone</t>
  </si>
  <si>
    <t>Group ID / MS AD</t>
  </si>
  <si>
    <t>Dest. Appl. CI Nr</t>
  </si>
  <si>
    <t>Destination IP adress(es)</t>
  </si>
  <si>
    <t>Protocol</t>
  </si>
  <si>
    <t>Port(s)</t>
  </si>
  <si>
    <t>Action</t>
  </si>
  <si>
    <t>Persistent Rule</t>
  </si>
  <si>
    <t>Leverancier</t>
  </si>
  <si>
    <t>Regel omschrijving</t>
  </si>
  <si>
    <t>Source Task for</t>
  </si>
  <si>
    <t>Destination Task for</t>
  </si>
  <si>
    <t>vb</t>
  </si>
  <si>
    <t>Appl Asset1 Prod/EPG to Appl Asset2 Prod/EPG</t>
  </si>
  <si>
    <t>10.10.10.10</t>
  </si>
  <si>
    <t>asset1.intra.schiphol.nl</t>
  </si>
  <si>
    <t>External Group: Public Zone</t>
  </si>
  <si>
    <t>9.8.7.6</t>
  </si>
  <si>
    <t>asset2.intra.schiphol.nl</t>
  </si>
  <si>
    <t>Asset Group: Restricted Asset Zone</t>
  </si>
  <si>
    <t>dns</t>
  </si>
  <si>
    <t>UDP</t>
  </si>
  <si>
    <t>Permit</t>
  </si>
  <si>
    <t>Yes</t>
  </si>
  <si>
    <t>Andere</t>
  </si>
  <si>
    <t>vb. for logging, management and monitoring purposes of blip</t>
  </si>
  <si>
    <t>FAST APPROVAL? PLEASE ADD MORE CONTEXT INFORMATION BELOW.</t>
  </si>
  <si>
    <t>NOTES</t>
  </si>
  <si>
    <t>VPN Global Protect Source IP-addresses. Please contact the Managed Devices team.</t>
  </si>
  <si>
    <t>Version History table</t>
  </si>
  <si>
    <t>Impact</t>
  </si>
  <si>
    <t>Valid</t>
  </si>
  <si>
    <t>Notes</t>
  </si>
  <si>
    <t>1.0.1</t>
  </si>
  <si>
    <t>Cosmetic</t>
  </si>
  <si>
    <t>NO</t>
  </si>
  <si>
    <t>1.2</t>
  </si>
  <si>
    <t>Minor</t>
  </si>
  <si>
    <t>Remove Azure Service Tag colom</t>
  </si>
  <si>
    <t>1.2.1</t>
  </si>
  <si>
    <t>1.2.2</t>
  </si>
  <si>
    <t>EPG namen opnemen in DNS veld, sftp service toegevoegd aan dropdown, verwijzing naar zoneringsdocument toegevoegd.</t>
  </si>
  <si>
    <t>1.3</t>
  </si>
  <si>
    <t>Add projectnumber, Add Network zone is additional, Add room for more context.</t>
  </si>
  <si>
    <t>1.3.1</t>
  </si>
  <si>
    <t>Add statement that only version N and N-1 will be processed.</t>
  </si>
  <si>
    <t>Add field for link to design</t>
  </si>
  <si>
    <t>1.4</t>
  </si>
  <si>
    <t>Add version history tab</t>
  </si>
  <si>
    <t>1.4.1</t>
  </si>
  <si>
    <t>AZURE OPS is now AZURE OPS and SDDC</t>
  </si>
  <si>
    <t>EESK or SSPC = Password protection required</t>
  </si>
  <si>
    <t>1.5</t>
  </si>
  <si>
    <t>YES</t>
  </si>
  <si>
    <t>New AMS Logo and max 5 ports</t>
  </si>
  <si>
    <t>1.5.1</t>
  </si>
  <si>
    <t>ST to SCT and adding OCD as solution group</t>
  </si>
  <si>
    <t>1.5.2</t>
  </si>
  <si>
    <t>Change in demarcation, formula and check on protocol and portnumbers.</t>
  </si>
  <si>
    <t>1.6.0</t>
  </si>
  <si>
    <t>New Layout</t>
  </si>
  <si>
    <t>Connection Type</t>
  </si>
  <si>
    <t>Change Type</t>
  </si>
  <si>
    <t>Network zones</t>
  </si>
  <si>
    <t>Version change</t>
  </si>
  <si>
    <t>Roles</t>
  </si>
  <si>
    <t>Organisations</t>
  </si>
  <si>
    <t>browser-based</t>
  </si>
  <si>
    <t>Major</t>
  </si>
  <si>
    <t>Architect</t>
  </si>
  <si>
    <t>client-server</t>
  </si>
  <si>
    <t>Modify rule(s)</t>
  </si>
  <si>
    <t>Asset Group: Generic Asset Zone</t>
  </si>
  <si>
    <t>Functioneel Applicatie Manager</t>
  </si>
  <si>
    <t>6421 - Schiphol Commercial</t>
  </si>
  <si>
    <t>network-protocol</t>
  </si>
  <si>
    <t>Remove rule(s)</t>
  </si>
  <si>
    <t>Enterprise Application Group: Restricted Application Zone</t>
  </si>
  <si>
    <t>Lead Engineer</t>
  </si>
  <si>
    <t>1002 - SCT</t>
  </si>
  <si>
    <t>peer-to-peer</t>
  </si>
  <si>
    <t>Enterprise Application Group: Generic Application Zone</t>
  </si>
  <si>
    <t>ABDO loket</t>
  </si>
  <si>
    <t>3157 - Robert Bosch (for SG)</t>
  </si>
  <si>
    <t>External Access Group: Public Access Zone</t>
  </si>
  <si>
    <t>Portnummers</t>
  </si>
  <si>
    <t>Service Manager</t>
  </si>
  <si>
    <t>Applicaties</t>
  </si>
  <si>
    <t>Leveranciers</t>
  </si>
  <si>
    <t>Actie</t>
  </si>
  <si>
    <t>External Access Group: Extranet Zone</t>
  </si>
  <si>
    <t>1-65535</t>
  </si>
  <si>
    <t>Other</t>
  </si>
  <si>
    <t>Microsoft</t>
  </si>
  <si>
    <t>dhcp</t>
  </si>
  <si>
    <t>Oracle</t>
  </si>
  <si>
    <t>Deny</t>
  </si>
  <si>
    <t>External Group: Workplace Zone</t>
  </si>
  <si>
    <t>Redhat</t>
  </si>
  <si>
    <t>Common Service Group: Management Service Zone</t>
  </si>
  <si>
    <t>jrmp</t>
  </si>
  <si>
    <t>IBM</t>
  </si>
  <si>
    <t>Common Service Group: Shared Service Zone</t>
  </si>
  <si>
    <t>ntp</t>
  </si>
  <si>
    <t>Splunk</t>
  </si>
  <si>
    <t>Not Applicable</t>
  </si>
  <si>
    <t>ldap</t>
  </si>
  <si>
    <t>Zabbix</t>
  </si>
  <si>
    <t>ping</t>
  </si>
  <si>
    <t>Salesforce</t>
  </si>
  <si>
    <t>Servicedesk call script</t>
  </si>
  <si>
    <t>radius</t>
  </si>
  <si>
    <t>Cisco</t>
  </si>
  <si>
    <t>1.            Source or Destination contains 10.220, 10.221, 10.222, 10.223, 10.224, 10.225 or 10.229 -&gt; Task for SDDC (check the next line)</t>
  </si>
  <si>
    <t>ssh</t>
  </si>
  <si>
    <t>Atlassian</t>
  </si>
  <si>
    <t>2.            Source or Destination contains 10.226, 10.227, 10.205 -&gt; Task for Azure OPS (check the next line)</t>
  </si>
  <si>
    <t>ssl</t>
  </si>
  <si>
    <t>3.            Source or Destination contains 10.205.37, 10.205.38, 10.205.69, 10.205.31, 10.205.28, 10.205.27 -&gt; Platform-Runtime and Azure OPS (check the next line)</t>
  </si>
  <si>
    <t>syslog</t>
  </si>
  <si>
    <t>TCP/UDP</t>
  </si>
  <si>
    <t>4.            Source or Destination contains 10.229.16, 10.229.17, 10.229.18, 10.229.19, 10.229.20, 10.229.21, 10.229.25, 10.229.26 -&gt; Platform-Runtime and SDDC (check the next line)</t>
  </si>
  <si>
    <t>tacacs</t>
  </si>
  <si>
    <t>ICMP</t>
  </si>
  <si>
    <t>5.            Source or Destination contains any other IP -&gt; Task for ST SI AANVRAGEN (check the next line)</t>
  </si>
  <si>
    <t>file-sharing</t>
  </si>
  <si>
    <t>http-proxy</t>
  </si>
  <si>
    <t>Servicedesk call script per 28 april 2025</t>
  </si>
  <si>
    <t>itunes-base</t>
  </si>
  <si>
    <t>1.  Source or Destination contains 10.220, 10.221, 10.222, 10.223, 10.224, 10.225 or 10.229 -&gt; Task for SDDC (check the next line)</t>
  </si>
  <si>
    <t>kerberos</t>
  </si>
  <si>
    <t>2.  Source or Destination contains 10.226, 10.227, 10.205 -&gt; Task for Azure OPS (check the next line)</t>
  </si>
  <si>
    <t>ms-ds-smbv3</t>
  </si>
  <si>
    <t>3.  Source or Destination contains 10.205.37, 10.205.38, 10.205.69, 10.205.31, 10.205.28, 10.205.27 -&gt; Platform-Runtime and Azure OPS (check the next line)</t>
  </si>
  <si>
    <t>ms-sql-db-encrypted</t>
  </si>
  <si>
    <t>4.  Source or Destination contains 10.229.16, 10.229.17, 10.229.18, 10.229.19, 10.229.20, 10.229.21 -&gt; Platform-Runtime and SDDC (check the next line)</t>
  </si>
  <si>
    <t>ms-teams-audio-video</t>
  </si>
  <si>
    <t>5.  Source or Destination contains any other IP -&gt; Task for ST SI AANVRAGEN (check the next line)</t>
  </si>
  <si>
    <t>netbios-ns</t>
  </si>
  <si>
    <t>6.  If only 1 AND 2 are true: Task for all three: SDDC and Azure OPS</t>
  </si>
  <si>
    <t>oracle</t>
  </si>
  <si>
    <t>7.  If only 1 AND 3 are true: Task for all four: SDDC, Azure OPS and Platform-Runtime</t>
  </si>
  <si>
    <t>outlook-web-online</t>
  </si>
  <si>
    <t>8.  If only 1 AND 4 are true: Task for all three: SDDC and Platform-Runtime</t>
  </si>
  <si>
    <t>rtcp</t>
  </si>
  <si>
    <t>9.  If only 2 AND 3 are true: Task for both: Azure OPS and Platform-Runtime</t>
  </si>
  <si>
    <t>sharepoint-online</t>
  </si>
  <si>
    <t>10.  If Change Type on page 1 is "Regel(s) verwijderen": Task for all four: SDDC, Azure OPS, Platform-Runtime and ST SI AANVRAGEN</t>
  </si>
  <si>
    <t>snmp-trap</t>
  </si>
  <si>
    <t>snmpv3</t>
  </si>
  <si>
    <t>10.220, 10.221, 10.222, 10.223, 10.224, 10.225, 10.229</t>
  </si>
  <si>
    <t>SDDC</t>
  </si>
  <si>
    <t>soap</t>
  </si>
  <si>
    <t>10.226, 10.227, 10.205</t>
  </si>
  <si>
    <t>AZURE OPS and SDDC</t>
  </si>
  <si>
    <t>vnc-base</t>
  </si>
  <si>
    <t>10.205.37, 10.205.38, 10.205.69, 10.205.31, 10.205.28, 10.205.27</t>
  </si>
  <si>
    <t>RUNTIME_AZURE_OPS</t>
  </si>
  <si>
    <t>web-browsing</t>
  </si>
  <si>
    <t>10.229.16, 10.229.17, 10.229.18, 10.229.19, 10.229.20, 10.229.21</t>
  </si>
  <si>
    <t>RUNTIME_SDDC</t>
  </si>
  <si>
    <t>sftp</t>
  </si>
  <si>
    <t>rdp</t>
  </si>
  <si>
    <t>other</t>
  </si>
  <si>
    <t>Port</t>
  </si>
  <si>
    <t>Service</t>
  </si>
  <si>
    <t>67, 68</t>
  </si>
  <si>
    <t>ldaps</t>
  </si>
  <si>
    <t>Appl/CI nr</t>
  </si>
  <si>
    <t>* Required/mandatory field. If not filled in, the form will not be processed!</t>
  </si>
  <si>
    <r>
      <t xml:space="preserve">Description </t>
    </r>
    <r>
      <rPr>
        <b/>
        <sz val="10"/>
        <color theme="5"/>
        <rFont val="RSG Variable B04"/>
        <family val="2"/>
      </rPr>
      <t>*</t>
    </r>
  </si>
  <si>
    <r>
      <t xml:space="preserve">Src. Appl.CI nr </t>
    </r>
    <r>
      <rPr>
        <b/>
        <sz val="8"/>
        <color theme="1"/>
        <rFont val="RSG Variable B04"/>
        <family val="2"/>
      </rPr>
      <t>(1)</t>
    </r>
    <r>
      <rPr>
        <b/>
        <sz val="10"/>
        <color theme="1"/>
        <rFont val="RSG Variable B04"/>
        <family val="2"/>
      </rPr>
      <t xml:space="preserve"> </t>
    </r>
    <r>
      <rPr>
        <b/>
        <sz val="10"/>
        <color theme="5"/>
        <rFont val="RSG Variable B04"/>
        <family val="2"/>
      </rPr>
      <t>*</t>
    </r>
  </si>
  <si>
    <r>
      <t xml:space="preserve">Source IP address(es) </t>
    </r>
    <r>
      <rPr>
        <b/>
        <sz val="10"/>
        <color theme="5"/>
        <rFont val="RSG Variable B04"/>
        <family val="2"/>
      </rPr>
      <t>*</t>
    </r>
  </si>
  <si>
    <r>
      <t xml:space="preserve">DNS name or EPG </t>
    </r>
    <r>
      <rPr>
        <b/>
        <sz val="10"/>
        <color theme="5"/>
        <rFont val="RSG Variable B04"/>
        <family val="2"/>
      </rPr>
      <t>*</t>
    </r>
  </si>
  <si>
    <r>
      <t xml:space="preserve">Dst. Appl.CI nr </t>
    </r>
    <r>
      <rPr>
        <b/>
        <sz val="8"/>
        <color theme="1"/>
        <rFont val="RSG Variable B04"/>
        <family val="2"/>
      </rPr>
      <t>(1)</t>
    </r>
    <r>
      <rPr>
        <b/>
        <sz val="10"/>
        <color theme="1"/>
        <rFont val="RSG Variable B04"/>
        <family val="2"/>
      </rPr>
      <t xml:space="preserve"> </t>
    </r>
    <r>
      <rPr>
        <b/>
        <sz val="10"/>
        <color theme="5"/>
        <rFont val="RSG Variable B04"/>
        <family val="2"/>
      </rPr>
      <t>*</t>
    </r>
  </si>
  <si>
    <r>
      <t xml:space="preserve">Dest. IP address(es) </t>
    </r>
    <r>
      <rPr>
        <b/>
        <sz val="10"/>
        <color theme="5"/>
        <rFont val="RSG Variable B04"/>
        <family val="2"/>
      </rPr>
      <t>*</t>
    </r>
  </si>
  <si>
    <r>
      <t xml:space="preserve">Protocol </t>
    </r>
    <r>
      <rPr>
        <b/>
        <sz val="10"/>
        <color theme="5"/>
        <rFont val="RSG Variable B04"/>
        <family val="2"/>
      </rPr>
      <t>*</t>
    </r>
  </si>
  <si>
    <r>
      <t xml:space="preserve">Port(s) number </t>
    </r>
    <r>
      <rPr>
        <b/>
        <sz val="10"/>
        <color theme="5"/>
        <rFont val="RSG Variable B04"/>
        <family val="2"/>
      </rPr>
      <t>*</t>
    </r>
  </si>
  <si>
    <r>
      <t xml:space="preserve">Action </t>
    </r>
    <r>
      <rPr>
        <b/>
        <sz val="10"/>
        <color theme="5"/>
        <rFont val="RSG Variable B04"/>
        <family val="2"/>
      </rPr>
      <t>*</t>
    </r>
  </si>
  <si>
    <r>
      <t xml:space="preserve">Persistent rule </t>
    </r>
    <r>
      <rPr>
        <b/>
        <sz val="10"/>
        <color theme="5"/>
        <rFont val="RSG Variable B04"/>
        <family val="2"/>
      </rPr>
      <t>*</t>
    </r>
  </si>
  <si>
    <r>
      <t xml:space="preserve">(1) Mandatory is the </t>
    </r>
    <r>
      <rPr>
        <b/>
        <sz val="10"/>
        <color theme="5"/>
        <rFont val="RSG Variable B04"/>
        <family val="2"/>
      </rPr>
      <t>CI number</t>
    </r>
    <r>
      <rPr>
        <sz val="10"/>
        <color theme="1"/>
        <rFont val="RSG Variable B04"/>
        <family val="2"/>
      </rPr>
      <t xml:space="preserve"> of the Schiphol Application from ICD. </t>
    </r>
    <r>
      <rPr>
        <b/>
        <sz val="10"/>
        <color theme="5"/>
        <rFont val="RSG Variable B04"/>
        <family val="2"/>
      </rPr>
      <t>Within ICD: IT Infrastructure --&gt; Configuration Items --&gt; CI Name search</t>
    </r>
  </si>
  <si>
    <r>
      <t xml:space="preserve">(2) </t>
    </r>
    <r>
      <rPr>
        <b/>
        <sz val="10"/>
        <color theme="5"/>
        <rFont val="RSG Variable B04"/>
        <family val="2"/>
      </rPr>
      <t>Network zoning policy</t>
    </r>
    <r>
      <rPr>
        <sz val="10"/>
        <rFont val="RSG Variable B04"/>
        <family val="2"/>
      </rPr>
      <t>: https://snbv.sharepoint.com/teams/architecture/SitePages/Policy%20Network%20Zones.aspx</t>
    </r>
  </si>
  <si>
    <t>New Layout and some field changes, including CI numbers for source and targetted application.</t>
  </si>
  <si>
    <t>In bijlage aanvraag.</t>
  </si>
  <si>
    <t>SSE</t>
  </si>
  <si>
    <t>wouter.de.ridder@schiphol.nl</t>
  </si>
  <si>
    <t>Wouter de Ridder</t>
  </si>
  <si>
    <t>10.221.59.112/28</t>
  </si>
  <si>
    <t>10.221.57.80/28</t>
  </si>
  <si>
    <t xml:space="preserve">Deze aanvraag is vergelijkbaar met eerder goedgekeurde en uitgevoerde firewall aanvragen voor LCM Server Migratie, zoals ICD 1748751.
Dit betreft het main GMI systeem welke volledig overgaat naar OneAD servers. Deze uitbreiding van de rules is nodig om de camerastreams van 3 gefedereerde systemen te kunnen faciliteren. </t>
  </si>
  <si>
    <t>172.27.208.0/24</t>
  </si>
  <si>
    <t>172.27.209.0/24</t>
  </si>
  <si>
    <t>172.27.210.0/24</t>
  </si>
  <si>
    <t>172.27.211.0/24</t>
  </si>
  <si>
    <t>172.27.212.0/24</t>
  </si>
  <si>
    <t>172.27.213.0/24</t>
  </si>
  <si>
    <t>172.27.214.0/24</t>
  </si>
  <si>
    <t>172.27.215.0/24</t>
  </si>
  <si>
    <t>172.27.216.0/24</t>
  </si>
  <si>
    <t>172.27.217.0/24</t>
  </si>
  <si>
    <t>viewstations subnet to gmifedssec_prd TCP</t>
  </si>
  <si>
    <t>viewstations subnet to gmifedssec_prd ICMP</t>
  </si>
  <si>
    <t>viewstations subnet to gmifedpro_prd TCP</t>
  </si>
  <si>
    <t>443
554-560
605
960
4502
5500</t>
  </si>
  <si>
    <t>Tim van Echtelt</t>
  </si>
  <si>
    <t>06 26054589</t>
  </si>
  <si>
    <t>tim.van.echtelt@nl.bosch.com</t>
  </si>
  <si>
    <t>Deze aanvraag is al eerder ingediend door mijn collega Lars Korpel. In de aanvraag was het niet mogelijk om in 1x het hele 172.27.0.0/16 netwerk toe te voegen. Vandaar heb ik alle netwerken los toegevoegd.</t>
  </si>
  <si>
    <t>epg_gmi_gmifedssec_prd</t>
  </si>
  <si>
    <t>epg_gmi_gmifedpro_prd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</si>
</sst>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00000000"/>
  </numFmts>
  <fonts count="49" x14ac:knownFonts="1">
    <font>
      <sz val="11"/>
      <color theme="1"/>
      <name val="Calibri"/>
      <family val="2"/>
      <scheme val="minor"/>
    </font>
    <font>
      <u/>
      <sz val="11"/>
      <color theme="10"/>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11"/>
      <color rgb="FF000000"/>
      <name val="Calibri"/>
      <family val="2"/>
    </font>
    <font>
      <sz val="11"/>
      <color theme="1"/>
      <name val="Schiphol Frutiger"/>
      <family val="2"/>
    </font>
    <font>
      <u/>
      <sz val="11"/>
      <color theme="10"/>
      <name val="Schiphol Frutiger"/>
      <family val="2"/>
    </font>
    <font>
      <sz val="11"/>
      <color theme="0"/>
      <name val="Schiphol Frutiger"/>
      <family val="2"/>
    </font>
    <font>
      <i/>
      <sz val="11"/>
      <color theme="1"/>
      <name val="Calibri"/>
      <family val="2"/>
      <scheme val="minor"/>
    </font>
    <font>
      <sz val="10.5"/>
      <color rgb="FF141251"/>
      <name val="Calibri"/>
      <family val="2"/>
      <scheme val="minor"/>
    </font>
    <font>
      <sz val="8"/>
      <name val="Calibri"/>
      <family val="2"/>
      <scheme val="minor"/>
    </font>
    <font>
      <sz val="11"/>
      <color theme="1"/>
      <name val="Frutiger for Schiphol Book"/>
      <family val="2"/>
    </font>
    <font>
      <sz val="9"/>
      <color indexed="81"/>
      <name val="Tahoma"/>
      <family val="2"/>
    </font>
    <font>
      <b/>
      <sz val="9"/>
      <color indexed="81"/>
      <name val="Tahoma"/>
      <family val="2"/>
    </font>
    <font>
      <sz val="10.5"/>
      <color theme="1"/>
      <name val="Calibri"/>
      <family val="2"/>
      <scheme val="minor"/>
    </font>
    <font>
      <sz val="10"/>
      <color theme="0"/>
      <name val="RSG Variable B04"/>
      <family val="2"/>
    </font>
    <font>
      <b/>
      <sz val="10"/>
      <color theme="1"/>
      <name val="RSG Variable B04"/>
      <family val="2"/>
    </font>
    <font>
      <sz val="11"/>
      <color theme="1"/>
      <name val="RSG Variable B04"/>
      <family val="2"/>
    </font>
    <font>
      <u/>
      <sz val="11"/>
      <color theme="10"/>
      <name val="RSG Variable B04"/>
      <family val="2"/>
    </font>
    <font>
      <sz val="10"/>
      <color theme="1"/>
      <name val="RSG Variable B04"/>
      <family val="2"/>
    </font>
    <font>
      <b/>
      <sz val="10"/>
      <color theme="0"/>
      <name val="RSG Variable B04"/>
      <family val="2"/>
    </font>
    <font>
      <sz val="9"/>
      <color theme="1"/>
      <name val="RSG Variable B04"/>
      <family val="2"/>
    </font>
    <font>
      <i/>
      <sz val="9"/>
      <color theme="1"/>
      <name val="RSG Variable B04"/>
      <family val="2"/>
    </font>
    <font>
      <b/>
      <sz val="11"/>
      <color theme="1"/>
      <name val="RSG Variable B04"/>
      <family val="2"/>
    </font>
    <font>
      <b/>
      <sz val="22"/>
      <color theme="0"/>
      <name val="RSG Variable B04"/>
      <family val="2"/>
    </font>
    <font>
      <sz val="11"/>
      <color theme="0"/>
      <name val="RSG Variable B04"/>
      <family val="2"/>
    </font>
    <font>
      <b/>
      <sz val="11"/>
      <color theme="0"/>
      <name val="RSG Variable B04"/>
      <family val="2"/>
    </font>
    <font>
      <b/>
      <sz val="12"/>
      <color theme="1"/>
      <name val="RSG Variable B04"/>
      <family val="2"/>
    </font>
    <font>
      <b/>
      <strike/>
      <sz val="10"/>
      <color theme="1"/>
      <name val="RSG Variable B04"/>
      <family val="2"/>
    </font>
    <font>
      <u/>
      <sz val="10"/>
      <color theme="10"/>
      <name val="RSG Variable B04"/>
      <family val="2"/>
    </font>
    <font>
      <b/>
      <sz val="10"/>
      <color rgb="FFFF0000"/>
      <name val="RSG Variable B04"/>
      <family val="2"/>
    </font>
    <font>
      <sz val="10"/>
      <color rgb="FFFF0000"/>
      <name val="RSG Variable B04"/>
      <family val="2"/>
    </font>
    <font>
      <b/>
      <sz val="8"/>
      <color theme="1"/>
      <name val="RSG Variable B04"/>
      <family val="2"/>
    </font>
    <font>
      <b/>
      <sz val="16"/>
      <color theme="0"/>
      <name val="RSG Variable B04"/>
      <family val="2"/>
    </font>
    <font>
      <b/>
      <i/>
      <sz val="8"/>
      <color rgb="FFFF7700"/>
      <name val="RSG Variable B04"/>
      <family val="2"/>
    </font>
    <font>
      <sz val="11"/>
      <color rgb="FFFF7700"/>
      <name val="RSG Variable B04"/>
      <family val="2"/>
    </font>
    <font>
      <b/>
      <sz val="12"/>
      <name val="RSG Variable B04"/>
      <family val="2"/>
    </font>
    <font>
      <i/>
      <sz val="8"/>
      <color theme="0"/>
      <name val="RSG Variable B04"/>
      <family val="2"/>
    </font>
    <font>
      <i/>
      <sz val="8"/>
      <color theme="1"/>
      <name val="RSG Variable B04"/>
      <family val="2"/>
    </font>
    <font>
      <i/>
      <sz val="10"/>
      <color theme="1"/>
      <name val="RSG Variable B04"/>
      <family val="2"/>
    </font>
    <font>
      <b/>
      <sz val="12"/>
      <color theme="0"/>
      <name val="RSG Variable B04"/>
      <family val="2"/>
    </font>
    <font>
      <sz val="12"/>
      <color theme="1"/>
      <name val="RSG Variable B04"/>
      <family val="2"/>
    </font>
    <font>
      <b/>
      <sz val="24"/>
      <color theme="5"/>
      <name val="RSG Variable B04"/>
      <family val="2"/>
    </font>
    <font>
      <i/>
      <sz val="11"/>
      <color theme="5"/>
      <name val="RSG Variable B04"/>
      <family val="2"/>
    </font>
    <font>
      <b/>
      <sz val="11"/>
      <color theme="5"/>
      <name val="RSG Variable B04"/>
      <family val="2"/>
    </font>
    <font>
      <b/>
      <i/>
      <sz val="9"/>
      <color rgb="FFFF7700"/>
      <name val="RSG Variable B04"/>
      <family val="2"/>
    </font>
    <font>
      <b/>
      <sz val="10"/>
      <color theme="5"/>
      <name val="RSG Variable B04"/>
      <family val="2"/>
    </font>
    <font>
      <sz val="10"/>
      <name val="RSG Variable B04"/>
      <family val="2"/>
    </font>
  </fonts>
  <fills count="8">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rgb="FFC8E2F0"/>
        <bgColor indexed="64"/>
      </patternFill>
    </fill>
    <fill>
      <patternFill patternType="solid">
        <fgColor rgb="FF2E3F42"/>
        <bgColor indexed="64"/>
      </patternFill>
    </fill>
    <fill>
      <patternFill patternType="solid">
        <fgColor rgb="FFFF7700"/>
        <bgColor indexed="64"/>
      </patternFill>
    </fill>
    <fill>
      <patternFill patternType="gray125">
        <bgColor rgb="FFC8E2F0"/>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top style="thin">
        <color indexed="64"/>
      </top>
      <bottom style="thin">
        <color indexed="64"/>
      </bottom>
      <diagonal/>
    </border>
    <border>
      <left style="thin">
        <color rgb="FFFF0000"/>
      </left>
      <right style="thin">
        <color rgb="FFFF0000"/>
      </right>
      <top style="thin">
        <color rgb="FFFF0000"/>
      </top>
      <bottom style="thin">
        <color rgb="FFFF0000"/>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theme="1"/>
      </bottom>
      <diagonal/>
    </border>
    <border>
      <left/>
      <right/>
      <top style="medium">
        <color rgb="FFFF0000"/>
      </top>
      <bottom style="thin">
        <color rgb="FFFF0000"/>
      </bottom>
      <diagonal/>
    </border>
    <border>
      <left style="thin">
        <color theme="1"/>
      </left>
      <right style="thin">
        <color rgb="FFFF0000"/>
      </right>
      <top style="thin">
        <color theme="1"/>
      </top>
      <bottom style="thin">
        <color theme="1"/>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thin">
        <color theme="1"/>
      </right>
      <top/>
      <bottom style="thin">
        <color theme="1"/>
      </bottom>
      <diagonal/>
    </border>
    <border>
      <left/>
      <right/>
      <top style="thin">
        <color theme="1"/>
      </top>
      <bottom style="thin">
        <color theme="1"/>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rgb="FFFF0000"/>
      </left>
      <right style="medium">
        <color indexed="64"/>
      </right>
      <top style="thin">
        <color rgb="FFFF0000"/>
      </top>
      <bottom style="thin">
        <color rgb="FFFF0000"/>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theme="1"/>
      </left>
      <right style="thin">
        <color theme="1"/>
      </right>
      <top/>
      <bottom style="thin">
        <color theme="1"/>
      </bottom>
      <diagonal/>
    </border>
    <border>
      <left style="thin">
        <color rgb="FFFF0000"/>
      </left>
      <right/>
      <top style="thin">
        <color rgb="FFFF0000"/>
      </top>
      <bottom style="thin">
        <color rgb="FFFF0000"/>
      </bottom>
      <diagonal/>
    </border>
    <border>
      <left style="thin">
        <color indexed="64"/>
      </left>
      <right style="thin">
        <color indexed="64"/>
      </right>
      <top style="thin">
        <color rgb="FFFF0000"/>
      </top>
      <bottom style="thin">
        <color indexed="64"/>
      </bottom>
      <diagonal/>
    </border>
    <border>
      <left style="thick">
        <color rgb="FF2E3F42"/>
      </left>
      <right style="thick">
        <color rgb="FF2E3F42"/>
      </right>
      <top style="thick">
        <color rgb="FF2E3F42"/>
      </top>
      <bottom style="thick">
        <color rgb="FF2E3F42"/>
      </bottom>
      <diagonal/>
    </border>
    <border>
      <left style="thick">
        <color rgb="FFFF7700"/>
      </left>
      <right style="thick">
        <color rgb="FF2E3F42"/>
      </right>
      <top style="thick">
        <color rgb="FF2E3F42"/>
      </top>
      <bottom style="thick">
        <color rgb="FF2E3F42"/>
      </bottom>
      <diagonal/>
    </border>
    <border>
      <left style="thick">
        <color rgb="FFFF7700"/>
      </left>
      <right/>
      <top style="thick">
        <color rgb="FF2E3F42"/>
      </top>
      <bottom style="thick">
        <color rgb="FF2E3F42"/>
      </bottom>
      <diagonal/>
    </border>
    <border>
      <left style="thick">
        <color rgb="FFFF7700"/>
      </left>
      <right style="thin">
        <color theme="1"/>
      </right>
      <top style="thin">
        <color theme="1"/>
      </top>
      <bottom style="thick">
        <color rgb="FF2E3F42"/>
      </bottom>
      <diagonal/>
    </border>
    <border>
      <left style="thin">
        <color theme="1"/>
      </left>
      <right style="thin">
        <color theme="1"/>
      </right>
      <top style="thin">
        <color theme="1"/>
      </top>
      <bottom style="thick">
        <color rgb="FF2E3F42"/>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thin">
        <color rgb="FFFF0000"/>
      </left>
      <right style="thin">
        <color rgb="FFFF0000"/>
      </right>
      <top/>
      <bottom style="thin">
        <color rgb="FFFF0000"/>
      </bottom>
      <diagonal/>
    </border>
    <border>
      <left style="thin">
        <color indexed="64"/>
      </left>
      <right style="thin">
        <color indexed="64"/>
      </right>
      <top style="medium">
        <color indexed="64"/>
      </top>
      <bottom style="thin">
        <color rgb="FFFF0000"/>
      </bottom>
      <diagonal/>
    </border>
    <border>
      <left/>
      <right style="thin">
        <color rgb="FFFF0000"/>
      </right>
      <top style="thin">
        <color rgb="FFFF0000"/>
      </top>
      <bottom style="thin">
        <color rgb="FFFF0000"/>
      </bottom>
      <diagonal/>
    </border>
    <border>
      <left/>
      <right style="thin">
        <color indexed="64"/>
      </right>
      <top/>
      <bottom/>
      <diagonal/>
    </border>
    <border>
      <left style="medium">
        <color indexed="64"/>
      </left>
      <right style="thin">
        <color indexed="64"/>
      </right>
      <top/>
      <bottom/>
      <diagonal/>
    </border>
    <border>
      <left style="thin">
        <color rgb="FFFF0000"/>
      </left>
      <right/>
      <top/>
      <bottom style="thin">
        <color rgb="FFFF0000"/>
      </bottom>
      <diagonal/>
    </border>
    <border>
      <left style="thin">
        <color rgb="FFFF0000"/>
      </left>
      <right style="medium">
        <color indexed="64"/>
      </right>
      <top/>
      <bottom style="thin">
        <color rgb="FFFF0000"/>
      </bottom>
      <diagonal/>
    </border>
  </borders>
  <cellStyleXfs count="2">
    <xf numFmtId="0" fontId="0" fillId="0" borderId="0"/>
    <xf numFmtId="0" fontId="1" fillId="0" borderId="0" applyNumberFormat="0" applyFill="0" applyBorder="0" applyAlignment="0" applyProtection="0"/>
  </cellStyleXfs>
  <cellXfs count="211">
    <xf numFmtId="0" fontId="0" fillId="0" borderId="0" xfId="0"/>
    <xf numFmtId="0" fontId="0" fillId="2" borderId="0" xfId="0" applyFill="1"/>
    <xf numFmtId="0" fontId="0" fillId="2" borderId="8" xfId="0" applyFill="1" applyBorder="1"/>
    <xf numFmtId="0" fontId="2" fillId="2" borderId="0" xfId="0" applyFont="1" applyFill="1"/>
    <xf numFmtId="0" fontId="3" fillId="2" borderId="8" xfId="0" applyFont="1" applyFill="1" applyBorder="1"/>
    <xf numFmtId="0" fontId="3" fillId="0" borderId="0" xfId="0" applyFont="1"/>
    <xf numFmtId="0" fontId="5" fillId="0" borderId="0" xfId="0" applyFont="1" applyAlignment="1">
      <alignment vertical="center"/>
    </xf>
    <xf numFmtId="0" fontId="4" fillId="0" borderId="0" xfId="0" applyFont="1"/>
    <xf numFmtId="0" fontId="10" fillId="0" borderId="0" xfId="0" applyFont="1" applyAlignment="1">
      <alignment horizontal="left" vertical="center" readingOrder="1"/>
    </xf>
    <xf numFmtId="0" fontId="15" fillId="0" borderId="0" xfId="0" applyFont="1"/>
    <xf numFmtId="0" fontId="0" fillId="3" borderId="0" xfId="0" applyFill="1"/>
    <xf numFmtId="0" fontId="18" fillId="2" borderId="0" xfId="0" applyFont="1" applyFill="1"/>
    <xf numFmtId="0" fontId="18" fillId="0" borderId="0" xfId="0" applyFont="1"/>
    <xf numFmtId="0" fontId="18" fillId="2" borderId="0" xfId="0" applyFont="1" applyFill="1" applyAlignment="1">
      <alignment horizontal="center"/>
    </xf>
    <xf numFmtId="0" fontId="0" fillId="4" borderId="0" xfId="0" applyFill="1"/>
    <xf numFmtId="0" fontId="0" fillId="4" borderId="8" xfId="0" applyFill="1" applyBorder="1"/>
    <xf numFmtId="0" fontId="12" fillId="4" borderId="0" xfId="0" applyFont="1" applyFill="1"/>
    <xf numFmtId="0" fontId="17" fillId="4" borderId="0" xfId="0" applyFont="1" applyFill="1"/>
    <xf numFmtId="0" fontId="18" fillId="4" borderId="0" xfId="0" applyFont="1" applyFill="1"/>
    <xf numFmtId="0" fontId="19" fillId="4" borderId="0" xfId="1" applyFont="1" applyFill="1" applyAlignment="1">
      <alignment horizontal="center"/>
    </xf>
    <xf numFmtId="0" fontId="9" fillId="4" borderId="0" xfId="0" applyFont="1" applyFill="1"/>
    <xf numFmtId="0" fontId="2" fillId="4" borderId="0" xfId="0" applyFont="1" applyFill="1"/>
    <xf numFmtId="0" fontId="20" fillId="4" borderId="0" xfId="0" applyFont="1" applyFill="1"/>
    <xf numFmtId="0" fontId="22" fillId="4" borderId="0" xfId="0" applyFont="1" applyFill="1"/>
    <xf numFmtId="0" fontId="8" fillId="4" borderId="0" xfId="0" applyFont="1" applyFill="1"/>
    <xf numFmtId="0" fontId="6" fillId="4" borderId="0" xfId="0" applyFont="1" applyFill="1"/>
    <xf numFmtId="0" fontId="1" fillId="4" borderId="0" xfId="1" applyFill="1"/>
    <xf numFmtId="0" fontId="7" fillId="4" borderId="0" xfId="1" applyFont="1" applyFill="1" applyBorder="1"/>
    <xf numFmtId="0" fontId="1" fillId="4" borderId="0" xfId="1" applyFill="1" applyBorder="1"/>
    <xf numFmtId="0" fontId="0" fillId="4" borderId="9" xfId="0" applyFill="1" applyBorder="1"/>
    <xf numFmtId="0" fontId="33" fillId="4" borderId="0" xfId="0" applyFont="1" applyFill="1"/>
    <xf numFmtId="0" fontId="25" fillId="4" borderId="0" xfId="0" applyFont="1" applyFill="1"/>
    <xf numFmtId="0" fontId="26" fillId="4" borderId="0" xfId="0" applyFont="1" applyFill="1"/>
    <xf numFmtId="0" fontId="24" fillId="4" borderId="0" xfId="0" applyFont="1" applyFill="1"/>
    <xf numFmtId="0" fontId="21" fillId="4" borderId="26" xfId="0" applyFont="1" applyFill="1" applyBorder="1" applyAlignment="1">
      <alignment horizontal="center"/>
    </xf>
    <xf numFmtId="0" fontId="21" fillId="4" borderId="27" xfId="0" applyFont="1" applyFill="1" applyBorder="1" applyAlignment="1">
      <alignment horizontal="center"/>
    </xf>
    <xf numFmtId="0" fontId="20" fillId="4" borderId="2" xfId="0" applyFont="1" applyFill="1" applyBorder="1" applyProtection="1">
      <protection locked="0"/>
    </xf>
    <xf numFmtId="0" fontId="20" fillId="4" borderId="2" xfId="0" applyFont="1" applyFill="1" applyBorder="1" applyAlignment="1" applyProtection="1">
      <alignment wrapText="1"/>
      <protection locked="0"/>
    </xf>
    <xf numFmtId="49" fontId="20" fillId="4" borderId="50" xfId="0" applyNumberFormat="1" applyFont="1" applyFill="1" applyBorder="1" applyAlignment="1" applyProtection="1">
      <alignment horizontal="center"/>
      <protection locked="0"/>
    </xf>
    <xf numFmtId="0" fontId="20" fillId="4" borderId="50" xfId="0" applyFont="1" applyFill="1" applyBorder="1" applyProtection="1">
      <protection locked="0"/>
    </xf>
    <xf numFmtId="0" fontId="20" fillId="4" borderId="32" xfId="0" applyFont="1" applyFill="1" applyBorder="1" applyProtection="1">
      <protection locked="0"/>
    </xf>
    <xf numFmtId="0" fontId="20" fillId="4" borderId="40" xfId="0" applyFont="1" applyFill="1" applyBorder="1" applyProtection="1">
      <protection locked="0"/>
    </xf>
    <xf numFmtId="0" fontId="20" fillId="4" borderId="36" xfId="0" applyFont="1" applyFill="1" applyBorder="1"/>
    <xf numFmtId="0" fontId="20" fillId="4" borderId="32" xfId="0" applyFont="1" applyFill="1" applyBorder="1"/>
    <xf numFmtId="0" fontId="20" fillId="4" borderId="1" xfId="0" applyFont="1" applyFill="1" applyBorder="1"/>
    <xf numFmtId="0" fontId="20" fillId="4" borderId="14" xfId="0" applyFont="1" applyFill="1" applyBorder="1" applyAlignment="1">
      <alignment horizontal="left"/>
    </xf>
    <xf numFmtId="0" fontId="20" fillId="4" borderId="1" xfId="0" applyFont="1" applyFill="1" applyBorder="1" applyProtection="1">
      <protection locked="0"/>
    </xf>
    <xf numFmtId="0" fontId="20" fillId="4" borderId="1" xfId="0" applyFont="1" applyFill="1" applyBorder="1" applyAlignment="1" applyProtection="1">
      <alignment wrapText="1"/>
      <protection locked="0"/>
    </xf>
    <xf numFmtId="49" fontId="20" fillId="4" borderId="2" xfId="0" applyNumberFormat="1" applyFont="1" applyFill="1" applyBorder="1" applyAlignment="1" applyProtection="1">
      <alignment horizontal="center"/>
      <protection locked="0"/>
    </xf>
    <xf numFmtId="49" fontId="20" fillId="4" borderId="1" xfId="0" applyNumberFormat="1" applyFont="1" applyFill="1" applyBorder="1" applyAlignment="1" applyProtection="1">
      <alignment horizontal="center"/>
      <protection locked="0"/>
    </xf>
    <xf numFmtId="0" fontId="20" fillId="4" borderId="24" xfId="0" applyFont="1" applyFill="1" applyBorder="1"/>
    <xf numFmtId="0" fontId="20" fillId="4" borderId="28" xfId="0" applyFont="1" applyFill="1" applyBorder="1" applyProtection="1">
      <protection locked="0"/>
    </xf>
    <xf numFmtId="0" fontId="20" fillId="4" borderId="41" xfId="0" applyFont="1" applyFill="1" applyBorder="1" applyAlignment="1">
      <alignment horizontal="left"/>
    </xf>
    <xf numFmtId="0" fontId="20" fillId="4" borderId="42" xfId="0" applyFont="1" applyFill="1" applyBorder="1" applyProtection="1">
      <protection locked="0"/>
    </xf>
    <xf numFmtId="0" fontId="20" fillId="4" borderId="42" xfId="0" applyFont="1" applyFill="1" applyBorder="1" applyAlignment="1" applyProtection="1">
      <alignment wrapText="1"/>
      <protection locked="0"/>
    </xf>
    <xf numFmtId="49" fontId="20" fillId="4" borderId="42" xfId="0" applyNumberFormat="1" applyFont="1" applyFill="1" applyBorder="1" applyAlignment="1" applyProtection="1">
      <alignment horizontal="center"/>
      <protection locked="0"/>
    </xf>
    <xf numFmtId="0" fontId="20" fillId="4" borderId="43" xfId="0" applyFont="1" applyFill="1" applyBorder="1" applyProtection="1">
      <protection locked="0"/>
    </xf>
    <xf numFmtId="0" fontId="20" fillId="4" borderId="44" xfId="0" applyFont="1" applyFill="1" applyBorder="1" applyProtection="1">
      <protection locked="0"/>
    </xf>
    <xf numFmtId="0" fontId="18" fillId="4" borderId="12" xfId="0" applyFont="1" applyFill="1" applyBorder="1"/>
    <xf numFmtId="0" fontId="27" fillId="4" borderId="8" xfId="0" applyFont="1" applyFill="1" applyBorder="1"/>
    <xf numFmtId="0" fontId="18" fillId="4" borderId="8" xfId="0" applyFont="1" applyFill="1" applyBorder="1"/>
    <xf numFmtId="0" fontId="20" fillId="4" borderId="0" xfId="0" applyFont="1" applyFill="1" applyAlignment="1" applyProtection="1">
      <alignment horizontal="left" vertical="top"/>
      <protection locked="0"/>
    </xf>
    <xf numFmtId="0" fontId="20" fillId="4" borderId="10" xfId="0" applyFont="1" applyFill="1" applyBorder="1" applyAlignment="1" applyProtection="1">
      <alignment horizontal="left" vertical="top"/>
      <protection locked="0"/>
    </xf>
    <xf numFmtId="0" fontId="28" fillId="4" borderId="0" xfId="0" applyFont="1" applyFill="1"/>
    <xf numFmtId="0" fontId="20" fillId="4" borderId="9" xfId="0" applyFont="1" applyFill="1" applyBorder="1" applyAlignment="1" applyProtection="1">
      <alignment horizontal="left" vertical="top"/>
      <protection locked="0"/>
    </xf>
    <xf numFmtId="0" fontId="20" fillId="4" borderId="11" xfId="0" applyFont="1" applyFill="1" applyBorder="1" applyAlignment="1" applyProtection="1">
      <alignment horizontal="left" vertical="top"/>
      <protection locked="0"/>
    </xf>
    <xf numFmtId="0" fontId="20" fillId="4" borderId="12" xfId="0" applyFont="1" applyFill="1" applyBorder="1" applyAlignment="1" applyProtection="1">
      <alignment horizontal="left" vertical="top"/>
      <protection locked="0"/>
    </xf>
    <xf numFmtId="0" fontId="20" fillId="4" borderId="13" xfId="0" applyFont="1" applyFill="1" applyBorder="1" applyAlignment="1" applyProtection="1">
      <alignment horizontal="left" vertical="top"/>
      <protection locked="0"/>
    </xf>
    <xf numFmtId="0" fontId="21" fillId="5" borderId="4" xfId="0" applyFont="1" applyFill="1" applyBorder="1"/>
    <xf numFmtId="0" fontId="21" fillId="5" borderId="5" xfId="0" applyFont="1" applyFill="1" applyBorder="1" applyAlignment="1">
      <alignment horizontal="center"/>
    </xf>
    <xf numFmtId="0" fontId="21" fillId="5" borderId="6" xfId="0" applyFont="1" applyFill="1" applyBorder="1" applyAlignment="1">
      <alignment horizontal="center"/>
    </xf>
    <xf numFmtId="0" fontId="21" fillId="5" borderId="26" xfId="0" applyFont="1" applyFill="1" applyBorder="1" applyAlignment="1">
      <alignment horizontal="center"/>
    </xf>
    <xf numFmtId="0" fontId="21" fillId="5" borderId="37" xfId="0" applyFont="1" applyFill="1" applyBorder="1" applyAlignment="1">
      <alignment horizontal="center"/>
    </xf>
    <xf numFmtId="0" fontId="21" fillId="5" borderId="27" xfId="0" applyFont="1" applyFill="1" applyBorder="1" applyAlignment="1">
      <alignment horizontal="center"/>
    </xf>
    <xf numFmtId="0" fontId="21" fillId="5" borderId="46" xfId="0" applyFont="1" applyFill="1" applyBorder="1" applyAlignment="1">
      <alignment horizontal="center"/>
    </xf>
    <xf numFmtId="0" fontId="21" fillId="5" borderId="47" xfId="0" applyFont="1" applyFill="1" applyBorder="1" applyAlignment="1">
      <alignment horizontal="center"/>
    </xf>
    <xf numFmtId="0" fontId="21" fillId="5" borderId="48" xfId="0" applyFont="1" applyFill="1" applyBorder="1" applyAlignment="1">
      <alignment horizontal="center"/>
    </xf>
    <xf numFmtId="0" fontId="21" fillId="5" borderId="38" xfId="0" applyFont="1" applyFill="1" applyBorder="1"/>
    <xf numFmtId="0" fontId="20" fillId="4" borderId="1" xfId="0" applyFont="1" applyFill="1" applyBorder="1" applyAlignment="1">
      <alignment horizontal="left"/>
    </xf>
    <xf numFmtId="0" fontId="20" fillId="6" borderId="33" xfId="0" applyFont="1" applyFill="1" applyBorder="1"/>
    <xf numFmtId="0" fontId="20" fillId="6" borderId="31" xfId="0" applyFont="1" applyFill="1" applyBorder="1"/>
    <xf numFmtId="0" fontId="21" fillId="5" borderId="6" xfId="0" applyFont="1" applyFill="1" applyBorder="1"/>
    <xf numFmtId="0" fontId="21" fillId="5" borderId="26" xfId="0" applyFont="1" applyFill="1" applyBorder="1"/>
    <xf numFmtId="0" fontId="18" fillId="4" borderId="0" xfId="0" applyFont="1" applyFill="1" applyAlignment="1">
      <alignment horizontal="center"/>
    </xf>
    <xf numFmtId="0" fontId="17" fillId="4" borderId="19" xfId="0" applyFont="1" applyFill="1" applyBorder="1"/>
    <xf numFmtId="0" fontId="20" fillId="4" borderId="20" xfId="0" applyFont="1" applyFill="1" applyBorder="1" applyAlignment="1">
      <alignment horizontal="center"/>
    </xf>
    <xf numFmtId="0" fontId="23" fillId="4" borderId="0" xfId="0" applyFont="1" applyFill="1"/>
    <xf numFmtId="0" fontId="29" fillId="4" borderId="0" xfId="0" applyFont="1" applyFill="1"/>
    <xf numFmtId="0" fontId="30" fillId="4" borderId="20" xfId="1" applyFont="1" applyFill="1" applyBorder="1" applyAlignment="1">
      <alignment horizontal="center"/>
    </xf>
    <xf numFmtId="0" fontId="17" fillId="4" borderId="21" xfId="0" applyFont="1" applyFill="1" applyBorder="1"/>
    <xf numFmtId="0" fontId="17" fillId="4" borderId="22" xfId="0" applyFont="1" applyFill="1" applyBorder="1"/>
    <xf numFmtId="0" fontId="20" fillId="4" borderId="22" xfId="0" applyFont="1" applyFill="1" applyBorder="1"/>
    <xf numFmtId="0" fontId="20" fillId="4" borderId="23" xfId="0" applyFont="1" applyFill="1" applyBorder="1" applyAlignment="1">
      <alignment horizontal="center"/>
    </xf>
    <xf numFmtId="0" fontId="20" fillId="4" borderId="0" xfId="0" applyFont="1" applyFill="1" applyAlignment="1">
      <alignment horizontal="center"/>
    </xf>
    <xf numFmtId="0" fontId="31" fillId="4" borderId="0" xfId="0" applyFont="1" applyFill="1"/>
    <xf numFmtId="0" fontId="32" fillId="4" borderId="0" xfId="0" applyFont="1" applyFill="1"/>
    <xf numFmtId="0" fontId="21" fillId="5" borderId="16" xfId="0" applyFont="1" applyFill="1" applyBorder="1"/>
    <xf numFmtId="0" fontId="21" fillId="5" borderId="17" xfId="0" applyFont="1" applyFill="1" applyBorder="1"/>
    <xf numFmtId="0" fontId="21" fillId="5" borderId="18" xfId="0" applyFont="1" applyFill="1" applyBorder="1" applyAlignment="1">
      <alignment horizontal="center"/>
    </xf>
    <xf numFmtId="0" fontId="21" fillId="5" borderId="0" xfId="0" applyFont="1" applyFill="1"/>
    <xf numFmtId="0" fontId="16" fillId="5" borderId="0" xfId="0" applyFont="1" applyFill="1"/>
    <xf numFmtId="0" fontId="0" fillId="5" borderId="0" xfId="0" applyFill="1"/>
    <xf numFmtId="0" fontId="34" fillId="5" borderId="0" xfId="0" applyFont="1" applyFill="1"/>
    <xf numFmtId="0" fontId="18" fillId="5" borderId="0" xfId="0" applyFont="1" applyFill="1"/>
    <xf numFmtId="0" fontId="28" fillId="4" borderId="0" xfId="0" applyFont="1" applyFill="1" applyAlignment="1">
      <alignment horizontal="center"/>
    </xf>
    <xf numFmtId="14" fontId="18" fillId="4" borderId="0" xfId="0" applyNumberFormat="1" applyFont="1" applyFill="1" applyAlignment="1">
      <alignment horizontal="center"/>
    </xf>
    <xf numFmtId="0" fontId="27" fillId="5" borderId="7" xfId="0" applyFont="1" applyFill="1" applyBorder="1"/>
    <xf numFmtId="0" fontId="27" fillId="5" borderId="8" xfId="0" applyFont="1" applyFill="1" applyBorder="1"/>
    <xf numFmtId="0" fontId="35" fillId="4" borderId="0" xfId="0" applyFont="1" applyFill="1"/>
    <xf numFmtId="0" fontId="36" fillId="4" borderId="0" xfId="0" applyFont="1" applyFill="1"/>
    <xf numFmtId="0" fontId="20" fillId="4" borderId="51" xfId="0" applyFont="1" applyFill="1" applyBorder="1" applyAlignment="1" applyProtection="1">
      <alignment horizontal="left"/>
      <protection locked="0"/>
    </xf>
    <xf numFmtId="0" fontId="16" fillId="5" borderId="52" xfId="0" applyFont="1" applyFill="1" applyBorder="1"/>
    <xf numFmtId="0" fontId="21" fillId="4" borderId="0" xfId="0" applyFont="1" applyFill="1"/>
    <xf numFmtId="14" fontId="20" fillId="4" borderId="0" xfId="0" applyNumberFormat="1" applyFont="1" applyFill="1" applyProtection="1">
      <protection locked="0"/>
    </xf>
    <xf numFmtId="0" fontId="16" fillId="4" borderId="0" xfId="0" applyFont="1" applyFill="1"/>
    <xf numFmtId="164" fontId="20" fillId="4" borderId="51" xfId="0" applyNumberFormat="1" applyFont="1" applyFill="1" applyBorder="1" applyProtection="1">
      <protection locked="0"/>
    </xf>
    <xf numFmtId="0" fontId="20" fillId="4" borderId="51" xfId="0" applyFont="1" applyFill="1" applyBorder="1" applyProtection="1">
      <protection locked="0"/>
    </xf>
    <xf numFmtId="14" fontId="20" fillId="4" borderId="51" xfId="0" applyNumberFormat="1" applyFont="1" applyFill="1" applyBorder="1" applyProtection="1">
      <protection locked="0"/>
    </xf>
    <xf numFmtId="0" fontId="37" fillId="4" borderId="0" xfId="0" applyFont="1" applyFill="1"/>
    <xf numFmtId="0" fontId="16" fillId="5" borderId="53" xfId="0" applyFont="1" applyFill="1" applyBorder="1"/>
    <xf numFmtId="0" fontId="38" fillId="5" borderId="52" xfId="0" applyFont="1" applyFill="1" applyBorder="1" applyAlignment="1">
      <alignment vertical="center"/>
    </xf>
    <xf numFmtId="0" fontId="39" fillId="4" borderId="51" xfId="0" applyFont="1" applyFill="1" applyBorder="1" applyAlignment="1">
      <alignment vertical="center"/>
    </xf>
    <xf numFmtId="14" fontId="39" fillId="4" borderId="51" xfId="0" applyNumberFormat="1" applyFont="1" applyFill="1" applyBorder="1" applyAlignment="1">
      <alignment horizontal="left" vertical="center"/>
    </xf>
    <xf numFmtId="0" fontId="27" fillId="5" borderId="51" xfId="0" applyFont="1" applyFill="1" applyBorder="1"/>
    <xf numFmtId="0" fontId="40" fillId="4" borderId="2" xfId="0" applyFont="1" applyFill="1" applyBorder="1" applyAlignment="1" applyProtection="1">
      <alignment horizontal="center"/>
      <protection locked="0"/>
    </xf>
    <xf numFmtId="14" fontId="18" fillId="4" borderId="0" xfId="0" applyNumberFormat="1" applyFont="1" applyFill="1"/>
    <xf numFmtId="0" fontId="18" fillId="4" borderId="9" xfId="0" applyFont="1" applyFill="1" applyBorder="1"/>
    <xf numFmtId="0" fontId="40" fillId="4" borderId="45" xfId="0" applyFont="1" applyFill="1" applyBorder="1"/>
    <xf numFmtId="0" fontId="40" fillId="4" borderId="56" xfId="0" applyFont="1" applyFill="1" applyBorder="1"/>
    <xf numFmtId="0" fontId="21" fillId="5" borderId="7" xfId="0" applyFont="1" applyFill="1" applyBorder="1" applyAlignment="1">
      <alignment horizontal="center"/>
    </xf>
    <xf numFmtId="0" fontId="21" fillId="5" borderId="57" xfId="0" applyFont="1" applyFill="1" applyBorder="1" applyAlignment="1">
      <alignment horizontal="center"/>
    </xf>
    <xf numFmtId="0" fontId="40" fillId="4" borderId="1" xfId="0" applyFont="1" applyFill="1" applyBorder="1"/>
    <xf numFmtId="0" fontId="40" fillId="4" borderId="42" xfId="0" applyFont="1" applyFill="1" applyBorder="1"/>
    <xf numFmtId="0" fontId="20" fillId="4" borderId="42" xfId="0" applyFont="1" applyFill="1" applyBorder="1"/>
    <xf numFmtId="0" fontId="20" fillId="4" borderId="45" xfId="0" applyFont="1" applyFill="1" applyBorder="1"/>
    <xf numFmtId="0" fontId="18" fillId="4" borderId="57" xfId="0" applyFont="1" applyFill="1" applyBorder="1"/>
    <xf numFmtId="0" fontId="40" fillId="7" borderId="25" xfId="0" applyFont="1" applyFill="1" applyBorder="1"/>
    <xf numFmtId="0" fontId="40" fillId="7" borderId="49" xfId="0" applyFont="1" applyFill="1" applyBorder="1" applyAlignment="1" applyProtection="1">
      <alignment horizontal="center"/>
      <protection locked="0"/>
    </xf>
    <xf numFmtId="0" fontId="40" fillId="7" borderId="25" xfId="0" applyFont="1" applyFill="1" applyBorder="1" applyAlignment="1">
      <alignment horizontal="center"/>
    </xf>
    <xf numFmtId="0" fontId="40" fillId="7" borderId="34" xfId="0" applyFont="1" applyFill="1" applyBorder="1" applyAlignment="1">
      <alignment horizontal="center"/>
    </xf>
    <xf numFmtId="0" fontId="40" fillId="7" borderId="3" xfId="0" applyFont="1" applyFill="1" applyBorder="1" applyAlignment="1">
      <alignment horizontal="center"/>
    </xf>
    <xf numFmtId="0" fontId="40" fillId="7" borderId="24" xfId="0" applyFont="1" applyFill="1" applyBorder="1" applyAlignment="1">
      <alignment horizontal="center"/>
    </xf>
    <xf numFmtId="0" fontId="40" fillId="7" borderId="25" xfId="0" applyFont="1" applyFill="1" applyBorder="1" applyAlignment="1" applyProtection="1">
      <alignment horizontal="center"/>
      <protection locked="0"/>
    </xf>
    <xf numFmtId="0" fontId="40" fillId="7" borderId="30" xfId="0" applyFont="1" applyFill="1" applyBorder="1"/>
    <xf numFmtId="0" fontId="40" fillId="7" borderId="25" xfId="0" applyFont="1" applyFill="1" applyBorder="1" applyAlignment="1">
      <alignment horizontal="left"/>
    </xf>
    <xf numFmtId="0" fontId="40" fillId="7" borderId="49" xfId="0" applyFont="1" applyFill="1" applyBorder="1" applyAlignment="1">
      <alignment horizontal="left"/>
    </xf>
    <xf numFmtId="0" fontId="40" fillId="7" borderId="39" xfId="0" applyFont="1" applyFill="1" applyBorder="1" applyAlignment="1">
      <alignment horizontal="left"/>
    </xf>
    <xf numFmtId="0" fontId="20" fillId="7" borderId="35" xfId="0" applyFont="1" applyFill="1" applyBorder="1"/>
    <xf numFmtId="0" fontId="20" fillId="7" borderId="29" xfId="0" applyFont="1" applyFill="1" applyBorder="1"/>
    <xf numFmtId="0" fontId="40" fillId="7" borderId="1" xfId="0" applyFont="1" applyFill="1" applyBorder="1"/>
    <xf numFmtId="0" fontId="40" fillId="7" borderId="45" xfId="0" applyFont="1" applyFill="1" applyBorder="1"/>
    <xf numFmtId="0" fontId="20" fillId="7" borderId="1" xfId="0" applyFont="1" applyFill="1" applyBorder="1"/>
    <xf numFmtId="0" fontId="20" fillId="7" borderId="24" xfId="0" applyFont="1" applyFill="1" applyBorder="1"/>
    <xf numFmtId="0" fontId="41" fillId="6" borderId="9" xfId="0" applyFont="1" applyFill="1" applyBorder="1" applyAlignment="1" applyProtection="1">
      <alignment horizontal="left" vertical="top"/>
      <protection locked="0"/>
    </xf>
    <xf numFmtId="0" fontId="42" fillId="6" borderId="0" xfId="0" applyFont="1" applyFill="1" applyAlignment="1" applyProtection="1">
      <alignment horizontal="left" vertical="top"/>
      <protection locked="0"/>
    </xf>
    <xf numFmtId="0" fontId="41" fillId="6" borderId="7" xfId="0" applyFont="1" applyFill="1" applyBorder="1" applyAlignment="1" applyProtection="1">
      <alignment horizontal="left" vertical="top"/>
      <protection locked="0"/>
    </xf>
    <xf numFmtId="0" fontId="42" fillId="6" borderId="8" xfId="0" applyFont="1" applyFill="1" applyBorder="1" applyAlignment="1" applyProtection="1">
      <alignment horizontal="left" vertical="top"/>
      <protection locked="0"/>
    </xf>
    <xf numFmtId="0" fontId="27" fillId="5" borderId="0" xfId="0" applyFont="1" applyFill="1"/>
    <xf numFmtId="0" fontId="20" fillId="4" borderId="56" xfId="0" applyFont="1" applyFill="1" applyBorder="1"/>
    <xf numFmtId="0" fontId="20" fillId="4" borderId="2" xfId="0" applyFont="1" applyFill="1" applyBorder="1" applyAlignment="1" applyProtection="1">
      <alignment horizontal="center"/>
      <protection locked="0"/>
    </xf>
    <xf numFmtId="0" fontId="20" fillId="4" borderId="42" xfId="0" applyFont="1" applyFill="1" applyBorder="1" applyAlignment="1" applyProtection="1">
      <alignment horizontal="center"/>
      <protection locked="0"/>
    </xf>
    <xf numFmtId="0" fontId="1" fillId="4" borderId="0" xfId="1" applyFill="1" applyAlignment="1">
      <alignment horizontal="center"/>
    </xf>
    <xf numFmtId="0" fontId="3" fillId="0" borderId="0" xfId="0" applyFont="1" applyAlignment="1">
      <alignment horizontal="center"/>
    </xf>
    <xf numFmtId="0" fontId="0" fillId="0" borderId="0" xfId="0" applyAlignment="1">
      <alignment horizontal="center"/>
    </xf>
    <xf numFmtId="0" fontId="43" fillId="4" borderId="0" xfId="0" applyFont="1" applyFill="1"/>
    <xf numFmtId="49" fontId="40" fillId="7" borderId="24" xfId="0" applyNumberFormat="1" applyFont="1" applyFill="1" applyBorder="1" applyAlignment="1">
      <alignment wrapText="1"/>
    </xf>
    <xf numFmtId="0" fontId="40" fillId="7" borderId="49" xfId="0" applyFont="1" applyFill="1" applyBorder="1"/>
    <xf numFmtId="0" fontId="40" fillId="7" borderId="58" xfId="0" applyFont="1" applyFill="1" applyBorder="1" applyAlignment="1" applyProtection="1">
      <alignment horizontal="center"/>
      <protection locked="0"/>
    </xf>
    <xf numFmtId="0" fontId="21" fillId="5" borderId="59" xfId="0" applyFont="1" applyFill="1" applyBorder="1" applyAlignment="1">
      <alignment horizontal="center"/>
    </xf>
    <xf numFmtId="0" fontId="20" fillId="4" borderId="36" xfId="0" applyFont="1" applyFill="1" applyBorder="1" applyAlignment="1" applyProtection="1">
      <alignment horizontal="center"/>
      <protection locked="0"/>
    </xf>
    <xf numFmtId="0" fontId="20" fillId="4" borderId="1" xfId="0" applyFont="1" applyFill="1" applyBorder="1" applyAlignment="1" applyProtection="1">
      <alignment horizontal="center"/>
      <protection locked="0"/>
    </xf>
    <xf numFmtId="49" fontId="20" fillId="4" borderId="36" xfId="0" applyNumberFormat="1" applyFont="1" applyFill="1" applyBorder="1" applyAlignment="1" applyProtection="1">
      <alignment horizontal="center"/>
      <protection locked="0"/>
    </xf>
    <xf numFmtId="0" fontId="44" fillId="4" borderId="0" xfId="0" applyFont="1" applyFill="1"/>
    <xf numFmtId="0" fontId="18" fillId="4" borderId="0" xfId="0" applyFont="1" applyFill="1" applyAlignment="1">
      <alignment horizontal="right"/>
    </xf>
    <xf numFmtId="0" fontId="45" fillId="4" borderId="0" xfId="0" applyFont="1" applyFill="1" applyAlignment="1">
      <alignment horizontal="right"/>
    </xf>
    <xf numFmtId="0" fontId="45" fillId="4" borderId="0" xfId="0" applyFont="1" applyFill="1" applyAlignment="1">
      <alignment horizontal="center"/>
    </xf>
    <xf numFmtId="0" fontId="17" fillId="6" borderId="15" xfId="0" applyFont="1" applyFill="1" applyBorder="1" applyAlignment="1">
      <alignment horizontal="center"/>
    </xf>
    <xf numFmtId="0" fontId="40" fillId="7" borderId="60" xfId="0" applyFont="1" applyFill="1" applyBorder="1" applyAlignment="1" applyProtection="1">
      <alignment horizontal="center"/>
      <protection locked="0"/>
    </xf>
    <xf numFmtId="0" fontId="21" fillId="5" borderId="1" xfId="0" applyFont="1" applyFill="1" applyBorder="1" applyAlignment="1">
      <alignment horizontal="center"/>
    </xf>
    <xf numFmtId="0" fontId="21" fillId="5" borderId="2" xfId="0" applyFont="1" applyFill="1" applyBorder="1" applyAlignment="1">
      <alignment horizontal="center"/>
    </xf>
    <xf numFmtId="0" fontId="21" fillId="5" borderId="61" xfId="0" applyFont="1" applyFill="1" applyBorder="1" applyAlignment="1">
      <alignment horizontal="center"/>
    </xf>
    <xf numFmtId="0" fontId="21" fillId="5" borderId="62" xfId="0" applyFont="1" applyFill="1" applyBorder="1" applyAlignment="1">
      <alignment horizontal="center"/>
    </xf>
    <xf numFmtId="0" fontId="20" fillId="6" borderId="15" xfId="0" applyFont="1" applyFill="1" applyBorder="1"/>
    <xf numFmtId="0" fontId="40" fillId="7" borderId="58" xfId="0" applyFont="1" applyFill="1" applyBorder="1" applyAlignment="1">
      <alignment horizontal="center"/>
    </xf>
    <xf numFmtId="0" fontId="40" fillId="7" borderId="63" xfId="0" applyFont="1" applyFill="1" applyBorder="1" applyAlignment="1">
      <alignment horizontal="left"/>
    </xf>
    <xf numFmtId="0" fontId="40" fillId="7" borderId="64" xfId="0" applyFont="1" applyFill="1" applyBorder="1" applyAlignment="1">
      <alignment horizontal="left"/>
    </xf>
    <xf numFmtId="0" fontId="21" fillId="5" borderId="1" xfId="0" applyFont="1" applyFill="1" applyBorder="1"/>
    <xf numFmtId="0" fontId="21" fillId="5" borderId="24" xfId="0" applyFont="1" applyFill="1" applyBorder="1"/>
    <xf numFmtId="0" fontId="20" fillId="4" borderId="50" xfId="0" applyFont="1" applyFill="1" applyBorder="1" applyAlignment="1" applyProtection="1">
      <alignment horizontal="center"/>
      <protection locked="0"/>
    </xf>
    <xf numFmtId="0" fontId="40" fillId="4" borderId="0" xfId="0" applyFont="1" applyFill="1"/>
    <xf numFmtId="0" fontId="46" fillId="4" borderId="0" xfId="0" applyFont="1" applyFill="1"/>
    <xf numFmtId="0" fontId="48" fillId="4" borderId="0" xfId="0" applyFont="1" applyFill="1"/>
    <xf numFmtId="0" fontId="20" fillId="4" borderId="2" xfId="0" applyFont="1" applyFill="1" applyBorder="1" applyAlignment="1" applyProtection="1">
      <alignment horizontal="center" wrapText="1"/>
      <protection locked="0"/>
    </xf>
    <xf numFmtId="0" fontId="20" fillId="4" borderId="42" xfId="0" applyFont="1" applyFill="1" applyBorder="1" applyAlignment="1" applyProtection="1">
      <alignment horizontal="center" wrapText="1"/>
      <protection locked="0"/>
    </xf>
    <xf numFmtId="0" fontId="16" fillId="5" borderId="54" xfId="0" applyFont="1" applyFill="1" applyBorder="1" applyAlignment="1">
      <alignment horizontal="left"/>
    </xf>
    <xf numFmtId="0" fontId="16" fillId="5" borderId="55" xfId="0" applyFont="1" applyFill="1" applyBorder="1" applyAlignment="1">
      <alignment horizontal="left"/>
    </xf>
    <xf numFmtId="0" fontId="1" fillId="4" borderId="0" xfId="1" applyFill="1" applyAlignment="1">
      <alignment horizontal="center"/>
    </xf>
    <xf numFmtId="0" fontId="20" fillId="4" borderId="9" xfId="0" applyFont="1" applyFill="1" applyBorder="1" applyAlignment="1" applyProtection="1">
      <alignment horizontal="left" vertical="top" wrapText="1"/>
      <protection locked="0"/>
    </xf>
    <xf numFmtId="0" fontId="20" fillId="4" borderId="0" xfId="0" applyFont="1" applyFill="1" applyAlignment="1" applyProtection="1">
      <alignment horizontal="left" vertical="top" wrapText="1"/>
      <protection locked="0"/>
    </xf>
    <xf numFmtId="0" fontId="20" fillId="4" borderId="9" xfId="0" applyFont="1" applyFill="1" applyBorder="1" applyAlignment="1" applyProtection="1">
      <alignment vertical="top" wrapText="1"/>
      <protection locked="0"/>
    </xf>
    <xf numFmtId="0" fontId="20" fillId="4" borderId="0" xfId="0" applyFont="1" applyFill="1" applyAlignment="1" applyProtection="1">
      <alignment vertical="top" wrapText="1"/>
      <protection locked="0"/>
    </xf>
    <xf numFmtId="0" fontId="17" fillId="6" borderId="15" xfId="0" applyFont="1" applyFill="1" applyBorder="1" applyAlignment="1">
      <alignment horizontal="center"/>
    </xf>
    <xf numFmtId="0" fontId="17" fillId="6" borderId="31" xfId="0" applyFont="1" applyFill="1" applyBorder="1" applyAlignment="1">
      <alignment horizontal="center"/>
    </xf>
    <xf numFmtId="0" fontId="24" fillId="6" borderId="33" xfId="0" applyFont="1" applyFill="1" applyBorder="1" applyAlignment="1">
      <alignment horizontal="center"/>
    </xf>
    <xf numFmtId="0" fontId="24" fillId="6" borderId="31" xfId="0" applyFont="1" applyFill="1" applyBorder="1" applyAlignment="1">
      <alignment horizontal="center"/>
    </xf>
    <xf numFmtId="0" fontId="19" fillId="4" borderId="0" xfId="1" applyFont="1" applyFill="1" applyAlignment="1">
      <alignment horizontal="center"/>
    </xf>
    <xf numFmtId="0" fontId="20" fillId="4" borderId="11" xfId="0" applyFont="1" applyFill="1" applyBorder="1" applyAlignment="1" applyProtection="1">
      <alignment vertical="top" wrapText="1"/>
      <protection locked="0"/>
    </xf>
    <xf numFmtId="0" fontId="20" fillId="4" borderId="12" xfId="0" applyFont="1" applyFill="1" applyBorder="1" applyAlignment="1" applyProtection="1">
      <alignment vertical="top" wrapText="1"/>
      <protection locked="0"/>
    </xf>
    <xf numFmtId="0" fontId="17" fillId="6" borderId="33" xfId="0" applyFont="1" applyFill="1" applyBorder="1" applyAlignment="1">
      <alignment horizontal="center"/>
    </xf>
    <xf numFmtId="0" fontId="17" fillId="6" borderId="15" xfId="0" applyFont="1" applyFill="1" applyBorder="1" applyAlignment="1">
      <alignment horizontal="right"/>
    </xf>
    <xf numFmtId="0" fontId="17" fillId="6" borderId="33" xfId="0" applyFont="1" applyFill="1" applyBorder="1" applyAlignment="1">
      <alignment horizontal="right"/>
    </xf>
  </cellXfs>
  <cellStyles count="2">
    <cellStyle name="Hyperlink" xfId="1" builtinId="8"/>
    <cellStyle name="Standaard" xfId="0" builtinId="0"/>
  </cellStyles>
  <dxfs count="37">
    <dxf>
      <fill>
        <gradientFill degree="180">
          <stop position="0">
            <color theme="0"/>
          </stop>
          <stop position="1">
            <color rgb="FFFF7700"/>
          </stop>
        </gradientFill>
      </fill>
    </dxf>
    <dxf>
      <fill>
        <gradientFill degree="180">
          <stop position="0">
            <color theme="0"/>
          </stop>
          <stop position="1">
            <color rgb="FF92D050"/>
          </stop>
        </gradientFill>
      </fill>
    </dxf>
    <dxf>
      <fill>
        <gradientFill degree="180">
          <stop position="0">
            <color theme="0"/>
          </stop>
          <stop position="1">
            <color theme="4"/>
          </stop>
        </gradientFill>
      </fill>
    </dxf>
    <dxf>
      <fill>
        <gradientFill degree="180">
          <stop position="0">
            <color theme="0"/>
          </stop>
          <stop position="1">
            <color rgb="FFFFFF00"/>
          </stop>
        </gradientFill>
      </fill>
    </dxf>
    <dxf>
      <fill>
        <gradientFill degree="180">
          <stop position="0">
            <color theme="0"/>
          </stop>
          <stop position="1">
            <color rgb="FFC00000"/>
          </stop>
        </gradient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gradientFill degree="180">
          <stop position="0">
            <color theme="0"/>
          </stop>
          <stop position="1">
            <color rgb="FF92D050"/>
          </stop>
        </gradientFill>
      </fill>
    </dxf>
    <dxf>
      <fill>
        <gradientFill degree="180">
          <stop position="0">
            <color theme="0"/>
          </stop>
          <stop position="1">
            <color rgb="FFFF7700"/>
          </stop>
        </gradientFill>
      </fill>
    </dxf>
    <dxf>
      <fill>
        <gradientFill degree="180">
          <stop position="0">
            <color theme="0"/>
          </stop>
          <stop position="1">
            <color theme="4"/>
          </stop>
        </gradientFill>
      </fill>
    </dxf>
    <dxf>
      <fill>
        <gradientFill degree="180">
          <stop position="0">
            <color theme="0"/>
          </stop>
          <stop position="1">
            <color rgb="FFFFFF00"/>
          </stop>
        </gradientFill>
      </fill>
    </dxf>
    <dxf>
      <fill>
        <gradientFill degree="180">
          <stop position="0">
            <color theme="0"/>
          </stop>
          <stop position="1">
            <color rgb="FFC00000"/>
          </stop>
        </gradientFill>
      </fill>
    </dxf>
    <dxf>
      <fill>
        <patternFill>
          <bgColor rgb="FF92D050"/>
        </patternFill>
      </fill>
    </dxf>
    <dxf>
      <fill>
        <patternFill>
          <bgColor theme="5"/>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gradientFill degree="180">
          <stop position="0">
            <color theme="0"/>
          </stop>
          <stop position="1">
            <color rgb="FF92D050"/>
          </stop>
        </gradientFill>
      </fill>
    </dxf>
    <dxf>
      <fill>
        <gradientFill degree="180">
          <stop position="0">
            <color theme="0"/>
          </stop>
          <stop position="1">
            <color rgb="FFFF7700"/>
          </stop>
        </gradientFill>
      </fill>
    </dxf>
    <dxf>
      <fill>
        <gradientFill degree="180">
          <stop position="0">
            <color theme="0"/>
          </stop>
          <stop position="1">
            <color theme="4"/>
          </stop>
        </gradientFill>
      </fill>
    </dxf>
    <dxf>
      <fill>
        <gradientFill degree="180">
          <stop position="0">
            <color theme="0"/>
          </stop>
          <stop position="1">
            <color rgb="FFFFFF00"/>
          </stop>
        </gradientFill>
      </fill>
    </dxf>
    <dxf>
      <fill>
        <gradientFill degree="180">
          <stop position="0">
            <color theme="0"/>
          </stop>
          <stop position="1">
            <color rgb="FFC00000"/>
          </stop>
        </gradientFill>
      </fill>
    </dxf>
    <dxf>
      <fill>
        <patternFill>
          <bgColor rgb="FF92D050"/>
        </patternFill>
      </fill>
    </dxf>
    <dxf>
      <fill>
        <patternFill>
          <bgColor theme="5"/>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colors>
    <mruColors>
      <color rgb="FFFF7700"/>
      <color rgb="FFC8E2F0"/>
      <color rgb="FFEB6E19"/>
      <color rgb="FFEB33A9"/>
      <color rgb="FFFF3399"/>
      <color rgb="FF2E3F42"/>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 Explanation'!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 Explanation'!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 Explanation'!A1"/></Relationships>
</file>

<file path=xl/drawings/drawing1.xml><?xml version="1.0" encoding="utf-8"?>
<xdr:wsDr xmlns:xdr="http://schemas.openxmlformats.org/drawingml/2006/spreadsheetDrawing" xmlns:a="http://schemas.openxmlformats.org/drawingml/2006/main">
  <xdr:twoCellAnchor>
    <xdr:from>
      <xdr:col>0</xdr:col>
      <xdr:colOff>566615</xdr:colOff>
      <xdr:row>0</xdr:row>
      <xdr:rowOff>131884</xdr:rowOff>
    </xdr:from>
    <xdr:to>
      <xdr:col>2</xdr:col>
      <xdr:colOff>924437</xdr:colOff>
      <xdr:row>7</xdr:row>
      <xdr:rowOff>171116</xdr:rowOff>
    </xdr:to>
    <xdr:grpSp>
      <xdr:nvGrpSpPr>
        <xdr:cNvPr id="2" name="Group 1">
          <a:extLst>
            <a:ext uri="{FF2B5EF4-FFF2-40B4-BE49-F238E27FC236}">
              <a16:creationId xmlns:a16="http://schemas.microsoft.com/office/drawing/2014/main" id="{47B73415-700F-4860-AB26-432ED47BE4A0}"/>
            </a:ext>
          </a:extLst>
        </xdr:cNvPr>
        <xdr:cNvGrpSpPr/>
      </xdr:nvGrpSpPr>
      <xdr:grpSpPr>
        <a:xfrm>
          <a:off x="566615" y="131884"/>
          <a:ext cx="2905079" cy="1319392"/>
          <a:chOff x="4913923" y="381000"/>
          <a:chExt cx="2831147" cy="1372732"/>
        </a:xfrm>
      </xdr:grpSpPr>
      <xdr:sp macro="" textlink="">
        <xdr:nvSpPr>
          <xdr:cNvPr id="3" name="Freeform: Shape 2">
            <a:extLst>
              <a:ext uri="{FF2B5EF4-FFF2-40B4-BE49-F238E27FC236}">
                <a16:creationId xmlns:a16="http://schemas.microsoft.com/office/drawing/2014/main" id="{1A9A8BDA-AC4F-AD8A-4E70-EACAC1A2BBE7}"/>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4" name="Freeform: Shape 3">
            <a:extLst>
              <a:ext uri="{FF2B5EF4-FFF2-40B4-BE49-F238E27FC236}">
                <a16:creationId xmlns:a16="http://schemas.microsoft.com/office/drawing/2014/main" id="{BD0069B9-44BA-55F2-D92D-05F5B155135F}"/>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63501</xdr:colOff>
      <xdr:row>1</xdr:row>
      <xdr:rowOff>9769</xdr:rowOff>
    </xdr:from>
    <xdr:to>
      <xdr:col>3</xdr:col>
      <xdr:colOff>747347</xdr:colOff>
      <xdr:row>7</xdr:row>
      <xdr:rowOff>154753</xdr:rowOff>
    </xdr:to>
    <xdr:grpSp>
      <xdr:nvGrpSpPr>
        <xdr:cNvPr id="2" name="Group 1">
          <a:extLst>
            <a:ext uri="{FF2B5EF4-FFF2-40B4-BE49-F238E27FC236}">
              <a16:creationId xmlns:a16="http://schemas.microsoft.com/office/drawing/2014/main" id="{3EB85580-9C65-4779-AB17-6C348EA00C2E}"/>
            </a:ext>
          </a:extLst>
        </xdr:cNvPr>
        <xdr:cNvGrpSpPr/>
      </xdr:nvGrpSpPr>
      <xdr:grpSpPr>
        <a:xfrm>
          <a:off x="649655" y="203200"/>
          <a:ext cx="2858477" cy="1305568"/>
          <a:chOff x="4913923" y="381000"/>
          <a:chExt cx="2831147" cy="1372732"/>
        </a:xfrm>
      </xdr:grpSpPr>
      <xdr:sp macro="" textlink="">
        <xdr:nvSpPr>
          <xdr:cNvPr id="4" name="Freeform: Shape 3">
            <a:extLst>
              <a:ext uri="{FF2B5EF4-FFF2-40B4-BE49-F238E27FC236}">
                <a16:creationId xmlns:a16="http://schemas.microsoft.com/office/drawing/2014/main" id="{D58FBCAA-F865-D9A4-43CE-B47D549934A1}"/>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5" name="Freeform: Shape 4">
            <a:extLst>
              <a:ext uri="{FF2B5EF4-FFF2-40B4-BE49-F238E27FC236}">
                <a16:creationId xmlns:a16="http://schemas.microsoft.com/office/drawing/2014/main" id="{CD31D297-26B1-A503-F153-0CCC70FCC1B1}"/>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566615</xdr:colOff>
      <xdr:row>0</xdr:row>
      <xdr:rowOff>131884</xdr:rowOff>
    </xdr:from>
    <xdr:to>
      <xdr:col>2</xdr:col>
      <xdr:colOff>924437</xdr:colOff>
      <xdr:row>7</xdr:row>
      <xdr:rowOff>171116</xdr:rowOff>
    </xdr:to>
    <xdr:grpSp>
      <xdr:nvGrpSpPr>
        <xdr:cNvPr id="11" name="Group 10">
          <a:extLst>
            <a:ext uri="{FF2B5EF4-FFF2-40B4-BE49-F238E27FC236}">
              <a16:creationId xmlns:a16="http://schemas.microsoft.com/office/drawing/2014/main" id="{13C7FE64-8658-1437-5F40-BC97F4B42FF3}"/>
            </a:ext>
          </a:extLst>
        </xdr:cNvPr>
        <xdr:cNvGrpSpPr/>
      </xdr:nvGrpSpPr>
      <xdr:grpSpPr>
        <a:xfrm>
          <a:off x="566615" y="131884"/>
          <a:ext cx="2901730" cy="1311186"/>
          <a:chOff x="4913923" y="381000"/>
          <a:chExt cx="2831147" cy="1372732"/>
        </a:xfrm>
      </xdr:grpSpPr>
      <xdr:sp macro="" textlink="">
        <xdr:nvSpPr>
          <xdr:cNvPr id="9" name="Freeform: Shape 8">
            <a:extLst>
              <a:ext uri="{FF2B5EF4-FFF2-40B4-BE49-F238E27FC236}">
                <a16:creationId xmlns:a16="http://schemas.microsoft.com/office/drawing/2014/main" id="{24CF6721-086B-9F13-1D41-CD35B11C7D76}"/>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10" name="Freeform: Shape 9">
            <a:extLst>
              <a:ext uri="{FF2B5EF4-FFF2-40B4-BE49-F238E27FC236}">
                <a16:creationId xmlns:a16="http://schemas.microsoft.com/office/drawing/2014/main" id="{47095753-12C8-5CAD-DD33-672C6B774625}"/>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36466</xdr:colOff>
      <xdr:row>5</xdr:row>
      <xdr:rowOff>65741</xdr:rowOff>
    </xdr:from>
    <xdr:to>
      <xdr:col>5</xdr:col>
      <xdr:colOff>642704</xdr:colOff>
      <xdr:row>6</xdr:row>
      <xdr:rowOff>191432</xdr:rowOff>
    </xdr:to>
    <xdr:cxnSp macro="">
      <xdr:nvCxnSpPr>
        <xdr:cNvPr id="7" name="Rechte verbindingslijn 13">
          <a:extLst>
            <a:ext uri="{FF2B5EF4-FFF2-40B4-BE49-F238E27FC236}">
              <a16:creationId xmlns:a16="http://schemas.microsoft.com/office/drawing/2014/main" id="{AD2E920A-961B-4A1E-8617-F98A3CDFEC5C}"/>
            </a:ext>
          </a:extLst>
        </xdr:cNvPr>
        <xdr:cNvCxnSpPr/>
      </xdr:nvCxnSpPr>
      <xdr:spPr>
        <a:xfrm flipH="1">
          <a:off x="6203904" y="1065866"/>
          <a:ext cx="606238" cy="328097"/>
        </a:xfrm>
        <a:prstGeom prst="line">
          <a:avLst/>
        </a:prstGeom>
        <a:ln w="19050">
          <a:solidFill>
            <a:srgbClr val="FF77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9769</xdr:colOff>
      <xdr:row>30</xdr:row>
      <xdr:rowOff>39565</xdr:rowOff>
    </xdr:from>
    <xdr:to>
      <xdr:col>6</xdr:col>
      <xdr:colOff>385641</xdr:colOff>
      <xdr:row>33</xdr:row>
      <xdr:rowOff>29552</xdr:rowOff>
    </xdr:to>
    <xdr:sp macro="" textlink="">
      <xdr:nvSpPr>
        <xdr:cNvPr id="2" name="Arrow: Curved Left 1">
          <a:extLst>
            <a:ext uri="{FF2B5EF4-FFF2-40B4-BE49-F238E27FC236}">
              <a16:creationId xmlns:a16="http://schemas.microsoft.com/office/drawing/2014/main" id="{E7A2A2D7-58BA-2B0F-E13D-6F2A6D3E9DB2}"/>
            </a:ext>
          </a:extLst>
        </xdr:cNvPr>
        <xdr:cNvSpPr/>
      </xdr:nvSpPr>
      <xdr:spPr>
        <a:xfrm>
          <a:off x="8106019" y="6116515"/>
          <a:ext cx="375872" cy="599587"/>
        </a:xfrm>
        <a:prstGeom prst="curvedLeftArrow">
          <a:avLst>
            <a:gd name="adj1" fmla="val 27627"/>
            <a:gd name="adj2" fmla="val 50000"/>
            <a:gd name="adj3" fmla="val 25000"/>
          </a:avLst>
        </a:prstGeom>
        <a:solidFill>
          <a:schemeClr val="accent2"/>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NL" sz="1100">
            <a:solidFill>
              <a:schemeClr val="tx1"/>
            </a:solidFill>
          </a:endParaRPr>
        </a:p>
      </xdr:txBody>
    </xdr:sp>
    <xdr:clientData/>
  </xdr:twoCellAnchor>
  <xdr:twoCellAnchor editAs="oneCell">
    <xdr:from>
      <xdr:col>7</xdr:col>
      <xdr:colOff>0</xdr:colOff>
      <xdr:row>1</xdr:row>
      <xdr:rowOff>0</xdr:rowOff>
    </xdr:from>
    <xdr:to>
      <xdr:col>8</xdr:col>
      <xdr:colOff>1274174</xdr:colOff>
      <xdr:row>7</xdr:row>
      <xdr:rowOff>55228</xdr:rowOff>
    </xdr:to>
    <xdr:pic>
      <xdr:nvPicPr>
        <xdr:cNvPr id="4" name="Picture 3">
          <a:hlinkClick xmlns:r="http://schemas.openxmlformats.org/officeDocument/2006/relationships" r:id="rId1" tooltip="Click here for more information"/>
          <a:extLst>
            <a:ext uri="{FF2B5EF4-FFF2-40B4-BE49-F238E27FC236}">
              <a16:creationId xmlns:a16="http://schemas.microsoft.com/office/drawing/2014/main" id="{5716C49F-8CF5-59A5-6633-E2CA57ED287C}"/>
            </a:ext>
          </a:extLst>
        </xdr:cNvPr>
        <xdr:cNvPicPr>
          <a:picLocks noChangeAspect="1"/>
        </xdr:cNvPicPr>
      </xdr:nvPicPr>
      <xdr:blipFill>
        <a:blip xmlns:r="http://schemas.openxmlformats.org/officeDocument/2006/relationships" r:embed="rId2">
          <a:duotone>
            <a:prstClr val="black"/>
            <a:srgbClr val="2E3F42">
              <a:tint val="45000"/>
              <a:satMod val="400000"/>
            </a:srgbClr>
          </a:duotone>
        </a:blip>
        <a:stretch>
          <a:fillRect/>
        </a:stretch>
      </xdr:blipFill>
      <xdr:spPr>
        <a:xfrm>
          <a:off x="10191750" y="190500"/>
          <a:ext cx="1274174" cy="1268078"/>
        </a:xfrm>
        <a:prstGeom prst="rect">
          <a:avLst/>
        </a:prstGeom>
      </xdr:spPr>
    </xdr:pic>
    <xdr:clientData/>
  </xdr:twoCellAnchor>
  <xdr:twoCellAnchor>
    <xdr:from>
      <xdr:col>1</xdr:col>
      <xdr:colOff>120651</xdr:colOff>
      <xdr:row>1</xdr:row>
      <xdr:rowOff>165100</xdr:rowOff>
    </xdr:from>
    <xdr:to>
      <xdr:col>2</xdr:col>
      <xdr:colOff>2592458</xdr:colOff>
      <xdr:row>8</xdr:row>
      <xdr:rowOff>115432</xdr:rowOff>
    </xdr:to>
    <xdr:grpSp>
      <xdr:nvGrpSpPr>
        <xdr:cNvPr id="5" name="Group 4">
          <a:extLst>
            <a:ext uri="{FF2B5EF4-FFF2-40B4-BE49-F238E27FC236}">
              <a16:creationId xmlns:a16="http://schemas.microsoft.com/office/drawing/2014/main" id="{0EF3B53A-8749-4E50-8088-8AD9B167AFBC}"/>
            </a:ext>
          </a:extLst>
        </xdr:cNvPr>
        <xdr:cNvGrpSpPr/>
      </xdr:nvGrpSpPr>
      <xdr:grpSpPr>
        <a:xfrm>
          <a:off x="703357" y="353359"/>
          <a:ext cx="2902113" cy="1295038"/>
          <a:chOff x="4913923" y="381000"/>
          <a:chExt cx="2831147" cy="1372732"/>
        </a:xfrm>
      </xdr:grpSpPr>
      <xdr:sp macro="" textlink="">
        <xdr:nvSpPr>
          <xdr:cNvPr id="6" name="Freeform: Shape 5">
            <a:extLst>
              <a:ext uri="{FF2B5EF4-FFF2-40B4-BE49-F238E27FC236}">
                <a16:creationId xmlns:a16="http://schemas.microsoft.com/office/drawing/2014/main" id="{1DB95D96-6BBA-68AE-A894-2DEEE05E7F75}"/>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8" name="Freeform: Shape 7">
            <a:extLst>
              <a:ext uri="{FF2B5EF4-FFF2-40B4-BE49-F238E27FC236}">
                <a16:creationId xmlns:a16="http://schemas.microsoft.com/office/drawing/2014/main" id="{531BC791-5EEF-BAA5-9BF3-62AB05A235AE}"/>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36466</xdr:colOff>
      <xdr:row>5</xdr:row>
      <xdr:rowOff>65741</xdr:rowOff>
    </xdr:from>
    <xdr:to>
      <xdr:col>5</xdr:col>
      <xdr:colOff>642704</xdr:colOff>
      <xdr:row>6</xdr:row>
      <xdr:rowOff>191432</xdr:rowOff>
    </xdr:to>
    <xdr:cxnSp macro="">
      <xdr:nvCxnSpPr>
        <xdr:cNvPr id="2" name="Rechte verbindingslijn 13">
          <a:extLst>
            <a:ext uri="{FF2B5EF4-FFF2-40B4-BE49-F238E27FC236}">
              <a16:creationId xmlns:a16="http://schemas.microsoft.com/office/drawing/2014/main" id="{DCB95F7A-B6DD-45CE-94E2-3497B6758AE6}"/>
            </a:ext>
          </a:extLst>
        </xdr:cNvPr>
        <xdr:cNvCxnSpPr/>
      </xdr:nvCxnSpPr>
      <xdr:spPr>
        <a:xfrm flipH="1">
          <a:off x="7046866" y="1056341"/>
          <a:ext cx="606238" cy="325716"/>
        </a:xfrm>
        <a:prstGeom prst="line">
          <a:avLst/>
        </a:prstGeom>
        <a:ln w="19050">
          <a:solidFill>
            <a:srgbClr val="FF77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9769</xdr:colOff>
      <xdr:row>30</xdr:row>
      <xdr:rowOff>39565</xdr:rowOff>
    </xdr:from>
    <xdr:to>
      <xdr:col>6</xdr:col>
      <xdr:colOff>385641</xdr:colOff>
      <xdr:row>33</xdr:row>
      <xdr:rowOff>29552</xdr:rowOff>
    </xdr:to>
    <xdr:sp macro="" textlink="">
      <xdr:nvSpPr>
        <xdr:cNvPr id="3" name="Arrow: Curved Left 2">
          <a:extLst>
            <a:ext uri="{FF2B5EF4-FFF2-40B4-BE49-F238E27FC236}">
              <a16:creationId xmlns:a16="http://schemas.microsoft.com/office/drawing/2014/main" id="{C18D79D9-83EC-4B71-84EA-B75154EE0A4E}"/>
            </a:ext>
          </a:extLst>
        </xdr:cNvPr>
        <xdr:cNvSpPr/>
      </xdr:nvSpPr>
      <xdr:spPr>
        <a:xfrm>
          <a:off x="8953744" y="6116515"/>
          <a:ext cx="375872" cy="599587"/>
        </a:xfrm>
        <a:prstGeom prst="curvedLeftArrow">
          <a:avLst>
            <a:gd name="adj1" fmla="val 27627"/>
            <a:gd name="adj2" fmla="val 50000"/>
            <a:gd name="adj3" fmla="val 25000"/>
          </a:avLst>
        </a:prstGeom>
        <a:solidFill>
          <a:schemeClr val="accent2"/>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NL" sz="1100">
            <a:solidFill>
              <a:schemeClr val="tx1"/>
            </a:solidFill>
          </a:endParaRPr>
        </a:p>
      </xdr:txBody>
    </xdr:sp>
    <xdr:clientData/>
  </xdr:twoCellAnchor>
  <xdr:twoCellAnchor editAs="oneCell">
    <xdr:from>
      <xdr:col>7</xdr:col>
      <xdr:colOff>0</xdr:colOff>
      <xdr:row>1</xdr:row>
      <xdr:rowOff>0</xdr:rowOff>
    </xdr:from>
    <xdr:to>
      <xdr:col>8</xdr:col>
      <xdr:colOff>1274174</xdr:colOff>
      <xdr:row>7</xdr:row>
      <xdr:rowOff>55228</xdr:rowOff>
    </xdr:to>
    <xdr:pic>
      <xdr:nvPicPr>
        <xdr:cNvPr id="4" name="Picture 3">
          <a:hlinkClick xmlns:r="http://schemas.openxmlformats.org/officeDocument/2006/relationships" r:id="rId1" tooltip="Click here for more information"/>
          <a:extLst>
            <a:ext uri="{FF2B5EF4-FFF2-40B4-BE49-F238E27FC236}">
              <a16:creationId xmlns:a16="http://schemas.microsoft.com/office/drawing/2014/main" id="{D3964A6C-5025-475E-B668-75DB9EBF4766}"/>
            </a:ext>
          </a:extLst>
        </xdr:cNvPr>
        <xdr:cNvPicPr>
          <a:picLocks noChangeAspect="1"/>
        </xdr:cNvPicPr>
      </xdr:nvPicPr>
      <xdr:blipFill>
        <a:blip xmlns:r="http://schemas.openxmlformats.org/officeDocument/2006/relationships" r:embed="rId2">
          <a:duotone>
            <a:prstClr val="black"/>
            <a:srgbClr val="2E3F42">
              <a:tint val="45000"/>
              <a:satMod val="400000"/>
            </a:srgbClr>
          </a:duotone>
        </a:blip>
        <a:stretch>
          <a:fillRect/>
        </a:stretch>
      </xdr:blipFill>
      <xdr:spPr>
        <a:xfrm>
          <a:off x="11029950" y="190500"/>
          <a:ext cx="1274174" cy="1264903"/>
        </a:xfrm>
        <a:prstGeom prst="rect">
          <a:avLst/>
        </a:prstGeom>
      </xdr:spPr>
    </xdr:pic>
    <xdr:clientData/>
  </xdr:twoCellAnchor>
  <xdr:twoCellAnchor>
    <xdr:from>
      <xdr:col>1</xdr:col>
      <xdr:colOff>120651</xdr:colOff>
      <xdr:row>1</xdr:row>
      <xdr:rowOff>165100</xdr:rowOff>
    </xdr:from>
    <xdr:to>
      <xdr:col>2</xdr:col>
      <xdr:colOff>2592458</xdr:colOff>
      <xdr:row>8</xdr:row>
      <xdr:rowOff>115432</xdr:rowOff>
    </xdr:to>
    <xdr:grpSp>
      <xdr:nvGrpSpPr>
        <xdr:cNvPr id="5" name="Group 4">
          <a:extLst>
            <a:ext uri="{FF2B5EF4-FFF2-40B4-BE49-F238E27FC236}">
              <a16:creationId xmlns:a16="http://schemas.microsoft.com/office/drawing/2014/main" id="{6B4807FB-6C45-41E5-890E-A9952D1A5EF4}"/>
            </a:ext>
          </a:extLst>
        </xdr:cNvPr>
        <xdr:cNvGrpSpPr/>
      </xdr:nvGrpSpPr>
      <xdr:grpSpPr>
        <a:xfrm>
          <a:off x="703357" y="353359"/>
          <a:ext cx="2902113" cy="1295038"/>
          <a:chOff x="4913923" y="381000"/>
          <a:chExt cx="2831147" cy="1372732"/>
        </a:xfrm>
      </xdr:grpSpPr>
      <xdr:sp macro="" textlink="">
        <xdr:nvSpPr>
          <xdr:cNvPr id="6" name="Freeform: Shape 5">
            <a:extLst>
              <a:ext uri="{FF2B5EF4-FFF2-40B4-BE49-F238E27FC236}">
                <a16:creationId xmlns:a16="http://schemas.microsoft.com/office/drawing/2014/main" id="{1EF4A8CA-ADA8-CCA2-9791-BC29021670C1}"/>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7" name="Freeform: Shape 6">
            <a:extLst>
              <a:ext uri="{FF2B5EF4-FFF2-40B4-BE49-F238E27FC236}">
                <a16:creationId xmlns:a16="http://schemas.microsoft.com/office/drawing/2014/main" id="{CA03CEDF-DDE8-3E79-7FED-EC36D7CE85E1}"/>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30</xdr:row>
      <xdr:rowOff>38100</xdr:rowOff>
    </xdr:from>
    <xdr:to>
      <xdr:col>6</xdr:col>
      <xdr:colOff>375872</xdr:colOff>
      <xdr:row>33</xdr:row>
      <xdr:rowOff>28820</xdr:rowOff>
    </xdr:to>
    <xdr:sp macro="" textlink="">
      <xdr:nvSpPr>
        <xdr:cNvPr id="6" name="Arrow: Curved Left 5">
          <a:extLst>
            <a:ext uri="{FF2B5EF4-FFF2-40B4-BE49-F238E27FC236}">
              <a16:creationId xmlns:a16="http://schemas.microsoft.com/office/drawing/2014/main" id="{3AE67BCD-586E-47D3-B22A-5B999C7015FB}"/>
            </a:ext>
          </a:extLst>
        </xdr:cNvPr>
        <xdr:cNvSpPr/>
      </xdr:nvSpPr>
      <xdr:spPr>
        <a:xfrm>
          <a:off x="8105775" y="6115050"/>
          <a:ext cx="375872" cy="600320"/>
        </a:xfrm>
        <a:prstGeom prst="curvedLeftArrow">
          <a:avLst>
            <a:gd name="adj1" fmla="val 27627"/>
            <a:gd name="adj2" fmla="val 50000"/>
            <a:gd name="adj3" fmla="val 25000"/>
          </a:avLst>
        </a:prstGeom>
        <a:solidFill>
          <a:schemeClr val="accent2"/>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NL" sz="1100">
            <a:solidFill>
              <a:schemeClr val="tx1"/>
            </a:solidFill>
          </a:endParaRPr>
        </a:p>
      </xdr:txBody>
    </xdr:sp>
    <xdr:clientData/>
  </xdr:twoCellAnchor>
  <xdr:twoCellAnchor editAs="oneCell">
    <xdr:from>
      <xdr:col>7</xdr:col>
      <xdr:colOff>0</xdr:colOff>
      <xdr:row>1</xdr:row>
      <xdr:rowOff>0</xdr:rowOff>
    </xdr:from>
    <xdr:to>
      <xdr:col>8</xdr:col>
      <xdr:colOff>1274174</xdr:colOff>
      <xdr:row>7</xdr:row>
      <xdr:rowOff>55228</xdr:rowOff>
    </xdr:to>
    <xdr:pic>
      <xdr:nvPicPr>
        <xdr:cNvPr id="2" name="Picture 1">
          <a:hlinkClick xmlns:r="http://schemas.openxmlformats.org/officeDocument/2006/relationships" r:id="rId1" tooltip="Click here for more information"/>
          <a:extLst>
            <a:ext uri="{FF2B5EF4-FFF2-40B4-BE49-F238E27FC236}">
              <a16:creationId xmlns:a16="http://schemas.microsoft.com/office/drawing/2014/main" id="{09EBC74C-11DB-6EE3-68F5-097D35C389C4}"/>
            </a:ext>
          </a:extLst>
        </xdr:cNvPr>
        <xdr:cNvPicPr>
          <a:picLocks noChangeAspect="1"/>
        </xdr:cNvPicPr>
      </xdr:nvPicPr>
      <xdr:blipFill>
        <a:blip xmlns:r="http://schemas.openxmlformats.org/officeDocument/2006/relationships" r:embed="rId2">
          <a:duotone>
            <a:prstClr val="black"/>
            <a:srgbClr val="2E3F42">
              <a:tint val="45000"/>
              <a:satMod val="400000"/>
            </a:srgbClr>
          </a:duotone>
        </a:blip>
        <a:stretch>
          <a:fillRect/>
        </a:stretch>
      </xdr:blipFill>
      <xdr:spPr>
        <a:xfrm>
          <a:off x="10198100" y="190500"/>
          <a:ext cx="1274174" cy="1268078"/>
        </a:xfrm>
        <a:prstGeom prst="rect">
          <a:avLst/>
        </a:prstGeom>
      </xdr:spPr>
    </xdr:pic>
    <xdr:clientData/>
  </xdr:twoCellAnchor>
  <xdr:twoCellAnchor>
    <xdr:from>
      <xdr:col>1</xdr:col>
      <xdr:colOff>121341</xdr:colOff>
      <xdr:row>1</xdr:row>
      <xdr:rowOff>168275</xdr:rowOff>
    </xdr:from>
    <xdr:to>
      <xdr:col>3</xdr:col>
      <xdr:colOff>1701538</xdr:colOff>
      <xdr:row>8</xdr:row>
      <xdr:rowOff>118607</xdr:rowOff>
    </xdr:to>
    <xdr:grpSp>
      <xdr:nvGrpSpPr>
        <xdr:cNvPr id="3" name="Group 2">
          <a:extLst>
            <a:ext uri="{FF2B5EF4-FFF2-40B4-BE49-F238E27FC236}">
              <a16:creationId xmlns:a16="http://schemas.microsoft.com/office/drawing/2014/main" id="{9EAFB801-C704-46F1-9A6F-AF365A9B1B27}"/>
            </a:ext>
          </a:extLst>
        </xdr:cNvPr>
        <xdr:cNvGrpSpPr/>
      </xdr:nvGrpSpPr>
      <xdr:grpSpPr>
        <a:xfrm>
          <a:off x="711063" y="360432"/>
          <a:ext cx="2872284" cy="1315305"/>
          <a:chOff x="4913923" y="381000"/>
          <a:chExt cx="2831147" cy="1372732"/>
        </a:xfrm>
      </xdr:grpSpPr>
      <xdr:sp macro="" textlink="">
        <xdr:nvSpPr>
          <xdr:cNvPr id="4" name="Freeform: Shape 3">
            <a:extLst>
              <a:ext uri="{FF2B5EF4-FFF2-40B4-BE49-F238E27FC236}">
                <a16:creationId xmlns:a16="http://schemas.microsoft.com/office/drawing/2014/main" id="{2B157B5C-8D82-7D86-9957-DE4F2805443F}"/>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8" name="Freeform: Shape 7">
            <a:extLst>
              <a:ext uri="{FF2B5EF4-FFF2-40B4-BE49-F238E27FC236}">
                <a16:creationId xmlns:a16="http://schemas.microsoft.com/office/drawing/2014/main" id="{FC47AFE3-4A71-5932-F3BB-5967D6E61107}"/>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twoCellAnchor>
    <xdr:from>
      <xdr:col>5</xdr:col>
      <xdr:colOff>36457</xdr:colOff>
      <xdr:row>5</xdr:row>
      <xdr:rowOff>62403</xdr:rowOff>
    </xdr:from>
    <xdr:to>
      <xdr:col>5</xdr:col>
      <xdr:colOff>649045</xdr:colOff>
      <xdr:row>6</xdr:row>
      <xdr:rowOff>196825</xdr:rowOff>
    </xdr:to>
    <xdr:cxnSp macro="">
      <xdr:nvCxnSpPr>
        <xdr:cNvPr id="7" name="Rechte verbindingslijn 13">
          <a:extLst>
            <a:ext uri="{FF2B5EF4-FFF2-40B4-BE49-F238E27FC236}">
              <a16:creationId xmlns:a16="http://schemas.microsoft.com/office/drawing/2014/main" id="{DF7F9729-4641-4B43-B177-5357592F8910}"/>
            </a:ext>
          </a:extLst>
        </xdr:cNvPr>
        <xdr:cNvCxnSpPr/>
      </xdr:nvCxnSpPr>
      <xdr:spPr>
        <a:xfrm flipH="1">
          <a:off x="6206905" y="1060886"/>
          <a:ext cx="612588" cy="335870"/>
        </a:xfrm>
        <a:prstGeom prst="line">
          <a:avLst/>
        </a:prstGeom>
        <a:ln w="19050">
          <a:solidFill>
            <a:srgbClr val="FF77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6AFB4-EF79-4F9B-B5C2-56FE8DCB7219}">
  <dimension ref="A1:O31"/>
  <sheetViews>
    <sheetView topLeftCell="A6" zoomScale="175" zoomScaleNormal="175" workbookViewId="0">
      <selection activeCell="B16" sqref="B16"/>
    </sheetView>
  </sheetViews>
  <sheetFormatPr defaultColWidth="0" defaultRowHeight="0" customHeight="1" zeroHeight="1" x14ac:dyDescent="0.3"/>
  <cols>
    <col min="1" max="1" width="8.5546875" style="1" customWidth="1"/>
    <col min="2" max="2" width="28.5546875" style="1" customWidth="1"/>
    <col min="3" max="3" width="36.5546875" style="1" customWidth="1"/>
    <col min="4" max="4" width="29.109375" style="1" customWidth="1"/>
    <col min="5" max="5" width="23.33203125" style="1" bestFit="1" customWidth="1"/>
    <col min="6" max="6" width="28.6640625" style="1" customWidth="1"/>
    <col min="7" max="7" width="8.5546875" style="1" customWidth="1"/>
    <col min="8" max="8" width="10.88671875" style="1" hidden="1" customWidth="1"/>
    <col min="9" max="9" width="24.88671875" style="1" hidden="1" customWidth="1"/>
    <col min="10" max="10" width="20.6640625" style="1" hidden="1" customWidth="1"/>
    <col min="11" max="12" width="19.5546875" style="1" hidden="1" customWidth="1"/>
    <col min="13" max="13" width="22.6640625" style="1" hidden="1" customWidth="1"/>
    <col min="14" max="14" width="17.6640625" style="1" hidden="1" customWidth="1"/>
    <col min="15" max="15" width="38.33203125" style="1" hidden="1" customWidth="1"/>
    <col min="16" max="16384" width="8.88671875" style="1" hidden="1"/>
  </cols>
  <sheetData>
    <row r="1" spans="1:14" ht="14.4" x14ac:dyDescent="0.3">
      <c r="A1" s="14"/>
      <c r="B1" s="15"/>
      <c r="C1" s="15"/>
      <c r="D1" s="14"/>
      <c r="E1" s="14"/>
      <c r="F1" s="14"/>
      <c r="G1" s="14"/>
      <c r="H1" s="4"/>
      <c r="I1" s="4"/>
      <c r="J1" s="2"/>
      <c r="K1" s="2"/>
      <c r="L1" s="2"/>
      <c r="M1" s="2"/>
      <c r="N1" s="2"/>
    </row>
    <row r="2" spans="1:14" ht="14.4" x14ac:dyDescent="0.3">
      <c r="A2" s="14"/>
      <c r="B2" s="14"/>
      <c r="C2" s="14"/>
      <c r="D2" s="14"/>
      <c r="E2" s="14"/>
      <c r="F2" s="14"/>
      <c r="G2" s="14"/>
    </row>
    <row r="3" spans="1:14" ht="14.4" x14ac:dyDescent="0.3">
      <c r="A3" s="14"/>
      <c r="B3" s="14"/>
      <c r="C3" s="14"/>
      <c r="D3" s="14"/>
      <c r="E3" s="14"/>
      <c r="F3" s="14"/>
      <c r="G3" s="14"/>
    </row>
    <row r="4" spans="1:14" ht="14.4" x14ac:dyDescent="0.3">
      <c r="A4" s="14"/>
      <c r="B4" s="14"/>
      <c r="C4" s="14"/>
      <c r="D4" s="14"/>
      <c r="E4" s="196"/>
      <c r="F4" s="14"/>
      <c r="G4" s="14"/>
    </row>
    <row r="5" spans="1:14" ht="14.4" x14ac:dyDescent="0.3">
      <c r="A5" s="14"/>
      <c r="B5" s="14"/>
      <c r="C5" s="14"/>
      <c r="D5" s="14"/>
      <c r="E5" s="196"/>
      <c r="F5" s="14"/>
      <c r="G5" s="14"/>
    </row>
    <row r="6" spans="1:14" ht="14.4" x14ac:dyDescent="0.3">
      <c r="A6" s="14"/>
      <c r="B6" s="14"/>
      <c r="C6" s="14"/>
      <c r="D6" s="196"/>
      <c r="E6" s="196"/>
      <c r="F6" s="14"/>
      <c r="G6" s="14"/>
    </row>
    <row r="7" spans="1:14" ht="14.4" x14ac:dyDescent="0.3">
      <c r="A7" s="14"/>
      <c r="B7" s="14"/>
      <c r="C7" s="14"/>
      <c r="D7" s="196"/>
      <c r="E7" s="196"/>
      <c r="F7" s="14"/>
      <c r="G7" s="14"/>
    </row>
    <row r="8" spans="1:14" ht="14.4" x14ac:dyDescent="0.3">
      <c r="A8" s="14"/>
      <c r="B8" s="14"/>
      <c r="C8" s="14"/>
      <c r="D8" s="196"/>
      <c r="E8" s="196"/>
      <c r="F8" s="14"/>
      <c r="G8" s="14"/>
    </row>
    <row r="9" spans="1:14" ht="14.4" x14ac:dyDescent="0.3">
      <c r="A9" s="14"/>
      <c r="B9" s="14"/>
      <c r="C9" s="16"/>
      <c r="D9" s="196"/>
      <c r="E9" s="196"/>
      <c r="F9" s="14"/>
      <c r="G9" s="14"/>
    </row>
    <row r="10" spans="1:14" ht="33" x14ac:dyDescent="0.75">
      <c r="A10" s="14"/>
      <c r="B10" s="164" t="s">
        <v>0</v>
      </c>
      <c r="C10" s="17"/>
      <c r="D10" s="196"/>
      <c r="E10" s="18"/>
      <c r="F10" s="18"/>
      <c r="G10" s="14"/>
    </row>
    <row r="11" spans="1:14" ht="15" x14ac:dyDescent="0.35">
      <c r="A11" s="14"/>
      <c r="B11" s="18" t="s">
        <v>1</v>
      </c>
      <c r="C11" s="18"/>
      <c r="D11" s="196"/>
      <c r="E11" s="18"/>
      <c r="F11" s="18"/>
      <c r="G11" s="14"/>
    </row>
    <row r="12" spans="1:14" ht="15" x14ac:dyDescent="0.35">
      <c r="A12" s="14"/>
      <c r="B12" s="18"/>
      <c r="C12" s="18"/>
      <c r="D12" s="161"/>
      <c r="E12" s="18"/>
      <c r="F12" s="18"/>
      <c r="G12" s="14"/>
    </row>
    <row r="13" spans="1:14" ht="16.8" x14ac:dyDescent="0.4">
      <c r="A13" s="14"/>
      <c r="B13" s="63" t="s">
        <v>2</v>
      </c>
      <c r="C13" s="18"/>
      <c r="D13" s="161"/>
      <c r="E13" s="18"/>
      <c r="F13" s="18"/>
      <c r="G13" s="14"/>
    </row>
    <row r="14" spans="1:14" ht="15" x14ac:dyDescent="0.35">
      <c r="A14" s="14"/>
      <c r="B14" s="18"/>
      <c r="C14" s="18"/>
      <c r="D14" s="161"/>
      <c r="E14" s="18"/>
      <c r="F14" s="18"/>
      <c r="G14" s="14"/>
    </row>
    <row r="15" spans="1:14" ht="15" x14ac:dyDescent="0.35">
      <c r="A15" s="14"/>
      <c r="B15" s="18"/>
      <c r="C15" s="18"/>
      <c r="D15" s="161"/>
      <c r="E15" s="18"/>
      <c r="F15" s="18"/>
      <c r="G15" s="14"/>
    </row>
    <row r="16" spans="1:14" ht="15" x14ac:dyDescent="0.35">
      <c r="A16" s="14"/>
      <c r="B16" s="172" t="s">
        <v>3</v>
      </c>
      <c r="C16" s="18"/>
      <c r="D16" s="161"/>
      <c r="E16" s="18"/>
      <c r="F16" s="18"/>
      <c r="G16" s="14"/>
    </row>
    <row r="17" spans="1:13" ht="15" x14ac:dyDescent="0.35">
      <c r="A17" s="14"/>
      <c r="B17" s="24"/>
      <c r="C17" s="18"/>
      <c r="D17" s="161"/>
      <c r="E17" s="18"/>
      <c r="F17" s="18"/>
      <c r="G17" s="14"/>
    </row>
    <row r="18" spans="1:13" ht="15" customHeight="1" x14ac:dyDescent="0.35">
      <c r="A18" s="14"/>
      <c r="B18" s="14"/>
      <c r="C18" s="24"/>
      <c r="D18" s="196"/>
      <c r="E18" s="22"/>
      <c r="F18" s="109"/>
      <c r="G18" s="14"/>
    </row>
    <row r="19" spans="1:13" ht="15" customHeight="1" x14ac:dyDescent="0.35">
      <c r="A19" s="14"/>
      <c r="B19" s="14"/>
      <c r="C19" s="14"/>
      <c r="D19" s="196"/>
      <c r="E19" s="25"/>
      <c r="F19" s="18"/>
      <c r="G19" s="14"/>
    </row>
    <row r="20" spans="1:13" ht="14.4" hidden="1" x14ac:dyDescent="0.3">
      <c r="A20" s="14"/>
      <c r="B20" s="14"/>
      <c r="C20" s="14"/>
      <c r="D20" s="196"/>
      <c r="E20" s="25"/>
      <c r="F20" s="25"/>
      <c r="G20" s="14"/>
    </row>
    <row r="21" spans="1:13" ht="14.4" hidden="1" x14ac:dyDescent="0.3">
      <c r="A21" s="14"/>
      <c r="B21" s="14"/>
      <c r="C21" s="14"/>
      <c r="D21" s="24"/>
      <c r="E21" s="25"/>
      <c r="F21" s="14"/>
      <c r="G21" s="14"/>
    </row>
    <row r="22" spans="1:13" ht="14.4" hidden="1" x14ac:dyDescent="0.3">
      <c r="A22" s="14"/>
      <c r="B22" s="14"/>
      <c r="C22" s="14"/>
      <c r="D22" s="25"/>
      <c r="E22" s="25"/>
      <c r="F22" s="14"/>
      <c r="G22" s="14"/>
    </row>
    <row r="23" spans="1:13" ht="14.4" hidden="1" x14ac:dyDescent="0.3">
      <c r="A23" s="14"/>
      <c r="B23" s="14"/>
      <c r="C23" s="14"/>
      <c r="D23" s="25"/>
      <c r="E23" s="25"/>
      <c r="F23" s="14"/>
      <c r="G23" s="14"/>
    </row>
    <row r="24" spans="1:13" ht="14.4" hidden="1" x14ac:dyDescent="0.3">
      <c r="A24" s="14"/>
      <c r="B24" s="14"/>
      <c r="C24" s="14"/>
      <c r="D24" s="27"/>
      <c r="E24" s="25"/>
      <c r="F24" s="14"/>
      <c r="G24" s="14"/>
    </row>
    <row r="25" spans="1:13" ht="14.4" hidden="1" x14ac:dyDescent="0.3">
      <c r="A25" s="14"/>
      <c r="B25" s="14"/>
      <c r="C25" s="14"/>
      <c r="D25" s="27"/>
      <c r="E25" s="14"/>
      <c r="F25" s="14"/>
      <c r="G25" s="14"/>
    </row>
    <row r="26" spans="1:13" ht="14.4" hidden="1" x14ac:dyDescent="0.3">
      <c r="A26" s="14"/>
      <c r="B26" s="14"/>
      <c r="C26" s="14"/>
      <c r="D26" s="27"/>
      <c r="E26" s="14"/>
      <c r="F26" s="14"/>
      <c r="G26" s="14"/>
    </row>
    <row r="27" spans="1:13" ht="14.4" hidden="1" x14ac:dyDescent="0.3">
      <c r="A27" s="14"/>
      <c r="B27" s="14"/>
      <c r="C27" s="14"/>
      <c r="D27" s="28"/>
      <c r="E27" s="14"/>
      <c r="F27" s="14"/>
      <c r="G27" s="14"/>
    </row>
    <row r="28" spans="1:13" ht="14.4" hidden="1" x14ac:dyDescent="0.3">
      <c r="A28" s="14"/>
      <c r="B28" s="14"/>
      <c r="C28" s="14"/>
      <c r="D28" s="28"/>
      <c r="E28" s="14"/>
      <c r="F28" s="14"/>
      <c r="G28" s="14"/>
    </row>
    <row r="29" spans="1:13" ht="14.4" hidden="1" x14ac:dyDescent="0.3">
      <c r="A29" s="14"/>
      <c r="B29" s="14"/>
      <c r="C29" s="14"/>
      <c r="D29" s="28"/>
      <c r="E29" s="14"/>
      <c r="F29" s="14"/>
      <c r="G29" s="14"/>
      <c r="L29"/>
    </row>
    <row r="30" spans="1:13" ht="14.4" hidden="1" x14ac:dyDescent="0.3">
      <c r="A30" s="14"/>
      <c r="B30" s="14"/>
      <c r="C30" s="14"/>
      <c r="D30" s="14"/>
      <c r="E30" s="14"/>
      <c r="F30" s="14"/>
      <c r="G30" s="14"/>
    </row>
    <row r="31" spans="1:13" ht="14.4" hidden="1" x14ac:dyDescent="0.3">
      <c r="A31" s="14"/>
      <c r="C31" s="14"/>
      <c r="D31" s="14"/>
      <c r="E31" s="14"/>
      <c r="F31" s="14"/>
      <c r="G31" s="14"/>
      <c r="M31" s="3"/>
    </row>
  </sheetData>
  <sheetProtection algorithmName="SHA-512" hashValue="8fAhZcDqQ9bjnFQxXBInom7/Vqh4kk3VX/cWirqRK4nrtIswc9CROt5i+Yw/rV3X4ZHB9FGUYEQ2hviieXLsXQ==" saltValue="OCkJHL0/vgLjRyiHA9n1Pw==" spinCount="100000" sheet="1" formatCells="0"/>
  <mergeCells count="3">
    <mergeCell ref="E4:E9"/>
    <mergeCell ref="D6:D11"/>
    <mergeCell ref="D18:D20"/>
  </mergeCells>
  <pageMargins left="0.7" right="0.7" top="0.75" bottom="0.75" header="0.3" footer="0.3"/>
  <pageSetup paperSize="9" orientation="landscape" r:id="rId1"/>
  <headerFooter>
    <oddFooter>&amp;C_x000D_&amp;1#&amp;"Calibri"&amp;10&amp;KFF7900 Orange Restricted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5CC5-9808-4DA5-9C18-CA60F9116882}">
  <dimension ref="A1:H53"/>
  <sheetViews>
    <sheetView topLeftCell="A9" zoomScale="130" zoomScaleNormal="130" workbookViewId="0"/>
  </sheetViews>
  <sheetFormatPr defaultColWidth="0" defaultRowHeight="15" zeroHeight="1" x14ac:dyDescent="0.35"/>
  <cols>
    <col min="1" max="1" width="8.5546875" style="12" customWidth="1"/>
    <col min="2" max="2" width="9.109375" style="11" customWidth="1"/>
    <col min="3" max="3" width="22.5546875" style="11" customWidth="1"/>
    <col min="4" max="4" width="58.109375" style="11" customWidth="1"/>
    <col min="5" max="5" width="9.109375" style="11" customWidth="1"/>
    <col min="6" max="6" width="8.88671875" style="11" customWidth="1"/>
    <col min="7" max="7" width="36.88671875" style="13" bestFit="1" customWidth="1"/>
    <col min="8" max="8" width="8.5546875" style="11" customWidth="1"/>
    <col min="9" max="16384" width="9.109375" style="11" hidden="1"/>
  </cols>
  <sheetData>
    <row r="1" spans="1:8" s="12" customFormat="1" x14ac:dyDescent="0.35">
      <c r="A1" s="18"/>
      <c r="B1" s="18"/>
      <c r="C1" s="18"/>
      <c r="D1" s="18"/>
      <c r="E1" s="18"/>
      <c r="F1" s="18"/>
      <c r="G1" s="83"/>
      <c r="H1" s="18"/>
    </row>
    <row r="2" spans="1:8" s="12" customFormat="1" x14ac:dyDescent="0.35">
      <c r="A2" s="18"/>
      <c r="B2" s="18"/>
      <c r="C2" s="18"/>
      <c r="D2" s="18"/>
      <c r="E2" s="18"/>
      <c r="F2" s="18"/>
      <c r="G2" s="83"/>
      <c r="H2" s="18"/>
    </row>
    <row r="3" spans="1:8" s="12" customFormat="1" x14ac:dyDescent="0.35">
      <c r="A3" s="18"/>
      <c r="B3" s="18"/>
      <c r="C3" s="18"/>
      <c r="D3" s="18"/>
      <c r="E3" s="18"/>
      <c r="F3" s="18"/>
      <c r="G3" s="83"/>
      <c r="H3" s="18"/>
    </row>
    <row r="4" spans="1:8" s="12" customFormat="1" x14ac:dyDescent="0.35">
      <c r="A4" s="18"/>
      <c r="B4" s="18"/>
      <c r="C4" s="18"/>
      <c r="D4" s="18"/>
      <c r="E4" s="18"/>
      <c r="F4" s="18"/>
      <c r="G4" s="83"/>
      <c r="H4" s="18"/>
    </row>
    <row r="5" spans="1:8" s="12" customFormat="1" x14ac:dyDescent="0.35">
      <c r="A5" s="18"/>
      <c r="B5" s="18"/>
      <c r="C5" s="18"/>
      <c r="D5" s="18"/>
      <c r="E5" s="18"/>
      <c r="F5" s="18"/>
      <c r="G5" s="83"/>
      <c r="H5" s="18"/>
    </row>
    <row r="6" spans="1:8" s="12" customFormat="1" x14ac:dyDescent="0.35">
      <c r="A6" s="18"/>
      <c r="B6" s="18"/>
      <c r="C6" s="18"/>
      <c r="D6" s="18"/>
      <c r="E6" s="18"/>
      <c r="F6" s="18"/>
      <c r="G6" s="83"/>
      <c r="H6" s="18"/>
    </row>
    <row r="7" spans="1:8" s="12" customFormat="1" x14ac:dyDescent="0.35">
      <c r="A7" s="18"/>
      <c r="B7" s="18"/>
      <c r="C7" s="18"/>
      <c r="D7" s="18"/>
      <c r="E7" s="18"/>
      <c r="F7" s="18"/>
      <c r="G7" s="83"/>
      <c r="H7" s="18"/>
    </row>
    <row r="8" spans="1:8" s="12" customFormat="1" x14ac:dyDescent="0.35">
      <c r="A8" s="18"/>
      <c r="B8" s="18"/>
      <c r="C8" s="18"/>
      <c r="D8" s="18"/>
      <c r="E8" s="18"/>
      <c r="F8" s="18"/>
      <c r="G8" s="83"/>
      <c r="H8" s="18"/>
    </row>
    <row r="9" spans="1:8" s="12" customFormat="1" x14ac:dyDescent="0.35">
      <c r="A9" s="18"/>
      <c r="B9" s="18"/>
      <c r="C9" s="18"/>
      <c r="D9" s="18"/>
      <c r="E9" s="18"/>
      <c r="F9" s="175"/>
      <c r="G9" s="83"/>
      <c r="H9" s="18"/>
    </row>
    <row r="10" spans="1:8" s="12" customFormat="1" ht="16.8" x14ac:dyDescent="0.4">
      <c r="A10" s="18"/>
      <c r="B10" s="63" t="s">
        <v>4</v>
      </c>
      <c r="C10" s="18"/>
      <c r="D10" s="174"/>
      <c r="E10" s="173"/>
      <c r="F10" s="83"/>
      <c r="G10" s="18"/>
      <c r="H10" s="18"/>
    </row>
    <row r="11" spans="1:8" s="12" customFormat="1" ht="15.6" thickBot="1" x14ac:dyDescent="0.4">
      <c r="A11" s="18"/>
      <c r="B11" s="18"/>
      <c r="C11" s="18"/>
      <c r="D11" s="18"/>
      <c r="E11" s="18"/>
      <c r="F11" s="18"/>
      <c r="G11" s="83"/>
      <c r="H11" s="18"/>
    </row>
    <row r="12" spans="1:8" s="12" customFormat="1" x14ac:dyDescent="0.35">
      <c r="A12" s="18"/>
      <c r="B12" s="96" t="s">
        <v>5</v>
      </c>
      <c r="C12" s="97"/>
      <c r="D12" s="97" t="s">
        <v>6</v>
      </c>
      <c r="E12" s="97"/>
      <c r="F12" s="97"/>
      <c r="G12" s="98" t="s">
        <v>7</v>
      </c>
      <c r="H12" s="18"/>
    </row>
    <row r="13" spans="1:8" s="12" customFormat="1" x14ac:dyDescent="0.35">
      <c r="A13" s="18"/>
      <c r="B13" s="84" t="s">
        <v>264</v>
      </c>
      <c r="C13" s="17"/>
      <c r="D13" s="22" t="s">
        <v>8</v>
      </c>
      <c r="E13" s="22"/>
      <c r="F13" s="22"/>
      <c r="G13" s="85" t="s">
        <v>9</v>
      </c>
      <c r="H13" s="18"/>
    </row>
    <row r="14" spans="1:8" s="12" customFormat="1" x14ac:dyDescent="0.35">
      <c r="A14" s="18"/>
      <c r="B14" s="84" t="s">
        <v>265</v>
      </c>
      <c r="C14" s="22"/>
      <c r="D14" s="22" t="s">
        <v>10</v>
      </c>
      <c r="E14" s="22"/>
      <c r="F14" s="22"/>
      <c r="G14" s="85">
        <v>123456</v>
      </c>
      <c r="H14" s="18"/>
    </row>
    <row r="15" spans="1:8" s="12" customFormat="1" x14ac:dyDescent="0.35">
      <c r="A15" s="18"/>
      <c r="B15" s="84" t="s">
        <v>266</v>
      </c>
      <c r="C15" s="17"/>
      <c r="D15" s="22" t="s">
        <v>11</v>
      </c>
      <c r="E15" s="22"/>
      <c r="F15" s="22"/>
      <c r="G15" s="85" t="s">
        <v>12</v>
      </c>
      <c r="H15" s="18"/>
    </row>
    <row r="16" spans="1:8" s="12" customFormat="1" x14ac:dyDescent="0.35">
      <c r="A16" s="18"/>
      <c r="B16" s="84"/>
      <c r="C16" s="17"/>
      <c r="D16" s="86" t="s">
        <v>13</v>
      </c>
      <c r="E16" s="22"/>
      <c r="F16" s="22"/>
      <c r="G16" s="85"/>
      <c r="H16" s="18"/>
    </row>
    <row r="17" spans="1:8" s="12" customFormat="1" x14ac:dyDescent="0.35">
      <c r="A17" s="18"/>
      <c r="B17" s="84" t="s">
        <v>267</v>
      </c>
      <c r="C17" s="17"/>
      <c r="D17" s="22" t="s">
        <v>14</v>
      </c>
      <c r="E17" s="22"/>
      <c r="F17" s="22"/>
      <c r="G17" s="85" t="s">
        <v>15</v>
      </c>
      <c r="H17" s="18"/>
    </row>
    <row r="18" spans="1:8" s="12" customFormat="1" x14ac:dyDescent="0.35">
      <c r="A18" s="18"/>
      <c r="B18" s="84" t="s">
        <v>16</v>
      </c>
      <c r="C18" s="17"/>
      <c r="D18" s="22" t="s">
        <v>17</v>
      </c>
      <c r="E18" s="22"/>
      <c r="F18" s="22"/>
      <c r="G18" s="85" t="s">
        <v>18</v>
      </c>
      <c r="H18" s="18"/>
    </row>
    <row r="19" spans="1:8" s="12" customFormat="1" hidden="1" x14ac:dyDescent="0.35">
      <c r="A19" s="18"/>
      <c r="B19" s="84" t="s">
        <v>19</v>
      </c>
      <c r="C19" s="17"/>
      <c r="D19" s="22" t="s">
        <v>20</v>
      </c>
      <c r="E19" s="22"/>
      <c r="F19" s="22"/>
      <c r="G19" s="85"/>
      <c r="H19" s="18"/>
    </row>
    <row r="20" spans="1:8" s="12" customFormat="1" x14ac:dyDescent="0.35">
      <c r="A20" s="18"/>
      <c r="B20" s="84" t="s">
        <v>21</v>
      </c>
      <c r="C20" s="17"/>
      <c r="D20" s="22" t="s">
        <v>22</v>
      </c>
      <c r="E20" s="22"/>
      <c r="F20" s="22"/>
      <c r="G20" s="85" t="s">
        <v>23</v>
      </c>
      <c r="H20" s="18"/>
    </row>
    <row r="21" spans="1:8" s="12" customFormat="1" x14ac:dyDescent="0.35">
      <c r="A21" s="18"/>
      <c r="B21" s="84" t="s">
        <v>268</v>
      </c>
      <c r="C21" s="22"/>
      <c r="D21" s="22" t="s">
        <v>24</v>
      </c>
      <c r="E21" s="22"/>
      <c r="F21" s="22"/>
      <c r="G21" s="85">
        <v>567890</v>
      </c>
      <c r="H21" s="18"/>
    </row>
    <row r="22" spans="1:8" s="12" customFormat="1" x14ac:dyDescent="0.35">
      <c r="A22" s="18"/>
      <c r="B22" s="84" t="s">
        <v>269</v>
      </c>
      <c r="C22" s="17"/>
      <c r="D22" s="22" t="s">
        <v>25</v>
      </c>
      <c r="E22" s="22"/>
      <c r="F22" s="22"/>
      <c r="G22" s="85" t="s">
        <v>26</v>
      </c>
      <c r="H22" s="18"/>
    </row>
    <row r="23" spans="1:8" s="12" customFormat="1" x14ac:dyDescent="0.35">
      <c r="A23" s="18"/>
      <c r="B23" s="84" t="s">
        <v>267</v>
      </c>
      <c r="C23" s="17"/>
      <c r="D23" s="22" t="s">
        <v>27</v>
      </c>
      <c r="E23" s="22"/>
      <c r="F23" s="22"/>
      <c r="G23" s="85" t="s">
        <v>15</v>
      </c>
      <c r="H23" s="18"/>
    </row>
    <row r="24" spans="1:8" s="12" customFormat="1" x14ac:dyDescent="0.35">
      <c r="A24" s="18"/>
      <c r="B24" s="84" t="s">
        <v>16</v>
      </c>
      <c r="C24" s="17"/>
      <c r="D24" s="22" t="s">
        <v>28</v>
      </c>
      <c r="E24" s="22"/>
      <c r="F24" s="22"/>
      <c r="G24" s="85" t="s">
        <v>29</v>
      </c>
      <c r="H24" s="18"/>
    </row>
    <row r="25" spans="1:8" s="12" customFormat="1" x14ac:dyDescent="0.35">
      <c r="A25" s="18"/>
      <c r="B25" s="84" t="s">
        <v>30</v>
      </c>
      <c r="C25" s="17"/>
      <c r="D25" s="22" t="s">
        <v>31</v>
      </c>
      <c r="E25" s="22"/>
      <c r="F25" s="22"/>
      <c r="G25" s="85" t="s">
        <v>32</v>
      </c>
      <c r="H25" s="18"/>
    </row>
    <row r="26" spans="1:8" s="12" customFormat="1" x14ac:dyDescent="0.35">
      <c r="A26" s="18"/>
      <c r="B26" s="84"/>
      <c r="C26" s="17"/>
      <c r="D26" s="86" t="s">
        <v>33</v>
      </c>
      <c r="E26" s="22"/>
      <c r="F26" s="22"/>
      <c r="G26" s="85"/>
      <c r="H26" s="18"/>
    </row>
    <row r="27" spans="1:8" s="12" customFormat="1" x14ac:dyDescent="0.35">
      <c r="A27" s="18"/>
      <c r="B27" s="84" t="s">
        <v>270</v>
      </c>
      <c r="C27" s="87"/>
      <c r="D27" s="22" t="s">
        <v>34</v>
      </c>
      <c r="E27" s="22"/>
      <c r="F27" s="22"/>
      <c r="G27" s="88" t="s">
        <v>35</v>
      </c>
      <c r="H27" s="18"/>
    </row>
    <row r="28" spans="1:8" s="12" customFormat="1" x14ac:dyDescent="0.35">
      <c r="A28" s="18"/>
      <c r="B28" s="84" t="s">
        <v>271</v>
      </c>
      <c r="C28" s="17"/>
      <c r="D28" s="22" t="s">
        <v>36</v>
      </c>
      <c r="E28" s="22"/>
      <c r="F28" s="22"/>
      <c r="G28" s="85" t="s">
        <v>37</v>
      </c>
      <c r="H28" s="18"/>
    </row>
    <row r="29" spans="1:8" s="12" customFormat="1" x14ac:dyDescent="0.35">
      <c r="A29" s="18"/>
      <c r="B29" s="84" t="s">
        <v>272</v>
      </c>
      <c r="C29" s="17"/>
      <c r="D29" s="22" t="s">
        <v>38</v>
      </c>
      <c r="E29" s="22"/>
      <c r="F29" s="22"/>
      <c r="G29" s="85" t="s">
        <v>39</v>
      </c>
      <c r="H29" s="18"/>
    </row>
    <row r="30" spans="1:8" s="12" customFormat="1" ht="15.6" thickBot="1" x14ac:dyDescent="0.4">
      <c r="A30" s="18"/>
      <c r="B30" s="89" t="s">
        <v>273</v>
      </c>
      <c r="C30" s="90"/>
      <c r="D30" s="91" t="s">
        <v>40</v>
      </c>
      <c r="E30" s="91"/>
      <c r="F30" s="91"/>
      <c r="G30" s="92" t="s">
        <v>41</v>
      </c>
      <c r="H30" s="18"/>
    </row>
    <row r="31" spans="1:8" x14ac:dyDescent="0.35">
      <c r="A31" s="18"/>
      <c r="B31" s="190" t="s">
        <v>263</v>
      </c>
      <c r="C31" s="22"/>
      <c r="D31" s="22"/>
      <c r="E31" s="22"/>
      <c r="F31" s="22"/>
      <c r="G31" s="93"/>
      <c r="H31" s="18"/>
    </row>
    <row r="32" spans="1:8" x14ac:dyDescent="0.35">
      <c r="A32" s="18"/>
      <c r="B32" s="94"/>
      <c r="C32" s="95"/>
      <c r="D32" s="22"/>
      <c r="E32" s="22"/>
      <c r="F32" s="22"/>
      <c r="G32" s="93"/>
      <c r="H32" s="18"/>
    </row>
    <row r="33" spans="1:8" x14ac:dyDescent="0.35">
      <c r="A33" s="18"/>
      <c r="B33" s="99" t="s">
        <v>42</v>
      </c>
      <c r="C33" s="100"/>
      <c r="D33" s="22"/>
      <c r="E33" s="22"/>
      <c r="F33" s="22"/>
      <c r="G33" s="93"/>
      <c r="H33" s="18"/>
    </row>
    <row r="34" spans="1:8" x14ac:dyDescent="0.35">
      <c r="A34" s="18"/>
      <c r="B34" s="189" t="s">
        <v>43</v>
      </c>
      <c r="C34" s="22"/>
      <c r="D34" s="22"/>
      <c r="E34" s="22"/>
      <c r="F34" s="22"/>
      <c r="G34" s="93"/>
      <c r="H34" s="18"/>
    </row>
    <row r="35" spans="1:8" x14ac:dyDescent="0.35">
      <c r="A35" s="18"/>
      <c r="B35" s="22"/>
      <c r="C35" s="22"/>
      <c r="D35" s="22"/>
      <c r="E35" s="22"/>
      <c r="F35" s="22"/>
      <c r="G35" s="93"/>
      <c r="H35" s="18"/>
    </row>
    <row r="36" spans="1:8" x14ac:dyDescent="0.35">
      <c r="A36" s="18"/>
      <c r="B36" s="22" t="s">
        <v>44</v>
      </c>
      <c r="C36" s="22"/>
      <c r="D36" s="22"/>
      <c r="E36" s="22"/>
      <c r="F36" s="22"/>
      <c r="G36" s="93"/>
      <c r="H36" s="18"/>
    </row>
    <row r="37" spans="1:8" x14ac:dyDescent="0.35">
      <c r="A37" s="18"/>
      <c r="B37" s="22" t="s">
        <v>45</v>
      </c>
      <c r="C37" s="18"/>
      <c r="D37" s="18"/>
      <c r="E37" s="22"/>
      <c r="F37" s="22"/>
      <c r="G37" s="93"/>
      <c r="H37" s="18"/>
    </row>
    <row r="38" spans="1:8" x14ac:dyDescent="0.35">
      <c r="A38" s="18"/>
      <c r="B38" s="22"/>
      <c r="C38" s="22"/>
      <c r="D38" s="22"/>
      <c r="E38" s="22"/>
      <c r="F38" s="22"/>
      <c r="G38" s="93"/>
      <c r="H38" s="18"/>
    </row>
    <row r="39" spans="1:8" x14ac:dyDescent="0.35">
      <c r="A39" s="18"/>
      <c r="B39" s="99" t="s">
        <v>46</v>
      </c>
      <c r="C39" s="99"/>
      <c r="D39" s="22"/>
      <c r="E39" s="22"/>
      <c r="F39" s="22"/>
      <c r="G39" s="93"/>
      <c r="H39" s="18"/>
    </row>
    <row r="40" spans="1:8" x14ac:dyDescent="0.35">
      <c r="A40" s="18"/>
      <c r="B40" s="189" t="s">
        <v>47</v>
      </c>
      <c r="C40" s="22"/>
      <c r="D40" s="22"/>
      <c r="E40" s="22"/>
      <c r="F40" s="22"/>
      <c r="G40" s="93"/>
      <c r="H40" s="18"/>
    </row>
    <row r="41" spans="1:8" x14ac:dyDescent="0.35">
      <c r="A41" s="18"/>
      <c r="B41" s="22"/>
      <c r="C41" s="22"/>
      <c r="D41" s="22"/>
      <c r="E41" s="22"/>
      <c r="F41" s="22"/>
      <c r="G41" s="93"/>
      <c r="H41" s="18"/>
    </row>
    <row r="42" spans="1:8" x14ac:dyDescent="0.35">
      <c r="A42" s="18"/>
      <c r="B42" s="22" t="s">
        <v>274</v>
      </c>
      <c r="C42" s="22"/>
      <c r="D42" s="22"/>
      <c r="E42" s="22"/>
      <c r="F42" s="22"/>
      <c r="G42" s="93"/>
      <c r="H42" s="18"/>
    </row>
    <row r="43" spans="1:8" x14ac:dyDescent="0.35">
      <c r="A43" s="18"/>
      <c r="B43" s="191" t="s">
        <v>275</v>
      </c>
      <c r="C43" s="22"/>
      <c r="D43" s="22"/>
      <c r="E43" s="22"/>
      <c r="F43" s="22"/>
      <c r="G43" s="93"/>
      <c r="H43" s="18"/>
    </row>
    <row r="44" spans="1:8" x14ac:dyDescent="0.35">
      <c r="A44" s="18"/>
      <c r="B44" s="22" t="s">
        <v>48</v>
      </c>
      <c r="C44" s="22"/>
      <c r="D44" s="22"/>
      <c r="E44" s="22"/>
      <c r="F44" s="22"/>
      <c r="G44" s="93"/>
      <c r="H44" s="18"/>
    </row>
    <row r="45" spans="1:8" x14ac:dyDescent="0.35">
      <c r="A45" s="18"/>
      <c r="B45" s="22" t="s">
        <v>49</v>
      </c>
      <c r="C45" s="22"/>
      <c r="D45" s="22"/>
      <c r="E45" s="22"/>
      <c r="F45" s="22"/>
      <c r="G45" s="93"/>
      <c r="H45" s="18"/>
    </row>
    <row r="46" spans="1:8" x14ac:dyDescent="0.35">
      <c r="A46" s="18"/>
      <c r="B46" s="22" t="s">
        <v>50</v>
      </c>
      <c r="C46" s="22"/>
      <c r="D46" s="22"/>
      <c r="E46" s="22"/>
      <c r="F46" s="22"/>
      <c r="G46" s="93"/>
      <c r="H46" s="18"/>
    </row>
    <row r="47" spans="1:8" x14ac:dyDescent="0.35">
      <c r="A47" s="18" t="s">
        <v>51</v>
      </c>
      <c r="B47" s="22" t="s">
        <v>52</v>
      </c>
      <c r="C47" s="22"/>
      <c r="D47" s="22"/>
      <c r="E47" s="22"/>
      <c r="F47" s="22"/>
      <c r="G47" s="93"/>
      <c r="H47" s="18"/>
    </row>
    <row r="48" spans="1:8" x14ac:dyDescent="0.35">
      <c r="A48" s="18"/>
      <c r="B48" s="22" t="s">
        <v>53</v>
      </c>
      <c r="C48" s="22"/>
      <c r="D48" s="22"/>
      <c r="E48" s="22"/>
      <c r="F48" s="22"/>
      <c r="G48" s="93"/>
      <c r="H48" s="18"/>
    </row>
    <row r="49" spans="1:8" x14ac:dyDescent="0.35">
      <c r="A49" s="18"/>
      <c r="B49" s="22" t="s">
        <v>54</v>
      </c>
      <c r="C49" s="22"/>
      <c r="D49" s="22"/>
      <c r="E49" s="22"/>
      <c r="F49" s="22"/>
      <c r="G49" s="93"/>
      <c r="H49" s="18"/>
    </row>
    <row r="50" spans="1:8" x14ac:dyDescent="0.35">
      <c r="A50" s="18"/>
      <c r="B50" s="22"/>
      <c r="C50" s="22"/>
      <c r="D50" s="22"/>
      <c r="E50" s="22"/>
      <c r="F50" s="22"/>
      <c r="G50" s="93"/>
      <c r="H50" s="18"/>
    </row>
    <row r="51" spans="1:8" hidden="1" x14ac:dyDescent="0.35">
      <c r="A51" s="18"/>
      <c r="B51" s="18"/>
      <c r="C51" s="18"/>
      <c r="D51" s="18"/>
      <c r="E51" s="18"/>
      <c r="F51" s="18"/>
      <c r="G51" s="83"/>
      <c r="H51" s="18"/>
    </row>
    <row r="52" spans="1:8" hidden="1" x14ac:dyDescent="0.35">
      <c r="A52" s="18"/>
      <c r="B52" s="18"/>
      <c r="C52" s="18"/>
      <c r="D52" s="18"/>
      <c r="E52" s="18"/>
      <c r="F52" s="18"/>
      <c r="G52" s="83"/>
      <c r="H52" s="18"/>
    </row>
    <row r="53" spans="1:8" hidden="1" x14ac:dyDescent="0.35">
      <c r="A53" s="18"/>
      <c r="B53" s="18"/>
      <c r="C53" s="18"/>
      <c r="D53" s="18"/>
      <c r="E53" s="18"/>
      <c r="F53" s="18"/>
      <c r="G53" s="83"/>
      <c r="H53" s="18"/>
    </row>
  </sheetData>
  <sheetProtection algorithmName="SHA-512" hashValue="K+dic/jvgQwl2SDnhW1V9PPYt1AkxWjPWxvwG2qQ8cGTDdbDvi/vhlRJXW9xlRmFSCmrDYnsN6mFjtOtXFdOyw==" saltValue="Ng/A5Fu7xVWQGad7MSYUiQ==" spinCount="100000" sheet="1" objects="1" scenarios="1"/>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A2FDF-A4DE-4704-A12B-4118291FED0E}">
  <dimension ref="A1:O68"/>
  <sheetViews>
    <sheetView topLeftCell="C4" zoomScale="130" zoomScaleNormal="130" workbookViewId="0">
      <selection activeCell="F17" sqref="F17"/>
    </sheetView>
  </sheetViews>
  <sheetFormatPr defaultColWidth="0" defaultRowHeight="14.4" zeroHeight="1" x14ac:dyDescent="0.3"/>
  <cols>
    <col min="1" max="1" width="8.5546875" style="1" customWidth="1"/>
    <col min="2" max="2" width="28.5546875" style="1" customWidth="1"/>
    <col min="3" max="3" width="36.5546875" style="1" customWidth="1"/>
    <col min="4" max="4" width="29.109375" style="1" customWidth="1"/>
    <col min="5" max="5" width="23.33203125" style="1" bestFit="1" customWidth="1"/>
    <col min="6" max="6" width="28.6640625" style="1" customWidth="1"/>
    <col min="7" max="7" width="8.5546875" style="1" customWidth="1"/>
    <col min="8" max="8" width="10.88671875" style="1" hidden="1" customWidth="1"/>
    <col min="9" max="9" width="24.88671875" style="1" hidden="1" customWidth="1"/>
    <col min="10" max="10" width="20.6640625" style="1" hidden="1" customWidth="1"/>
    <col min="11" max="12" width="19.5546875" style="1" hidden="1" customWidth="1"/>
    <col min="13" max="13" width="22.6640625" style="1" hidden="1" customWidth="1"/>
    <col min="14" max="14" width="17.6640625" style="1" hidden="1" customWidth="1"/>
    <col min="15" max="15" width="38.33203125" style="1" hidden="1" customWidth="1"/>
    <col min="16" max="16384" width="8.88671875" style="1" hidden="1"/>
  </cols>
  <sheetData>
    <row r="1" spans="1:14" x14ac:dyDescent="0.3">
      <c r="A1" s="14"/>
      <c r="B1" s="15"/>
      <c r="C1" s="15"/>
      <c r="D1" s="14"/>
      <c r="E1" s="14"/>
      <c r="F1" s="14"/>
      <c r="G1" s="14"/>
      <c r="H1" s="4"/>
      <c r="I1" s="4"/>
      <c r="J1" s="2"/>
      <c r="K1" s="2"/>
      <c r="L1" s="2"/>
      <c r="M1" s="2"/>
      <c r="N1" s="2"/>
    </row>
    <row r="2" spans="1:14" x14ac:dyDescent="0.3">
      <c r="A2" s="14"/>
      <c r="B2" s="14"/>
      <c r="C2" s="14"/>
      <c r="D2" s="14"/>
      <c r="E2" s="14"/>
      <c r="F2" s="14"/>
      <c r="G2" s="14"/>
    </row>
    <row r="3" spans="1:14" x14ac:dyDescent="0.3">
      <c r="A3" s="14"/>
      <c r="B3" s="14"/>
      <c r="C3" s="14"/>
      <c r="D3" s="14"/>
      <c r="E3" s="14"/>
      <c r="F3" s="14"/>
      <c r="G3" s="14"/>
    </row>
    <row r="4" spans="1:14" x14ac:dyDescent="0.3">
      <c r="A4" s="14"/>
      <c r="B4" s="14"/>
      <c r="C4" s="14"/>
      <c r="D4" s="14"/>
      <c r="E4" s="196"/>
      <c r="F4" s="14"/>
      <c r="G4" s="14"/>
    </row>
    <row r="5" spans="1:14" x14ac:dyDescent="0.3">
      <c r="A5" s="14"/>
      <c r="B5" s="14"/>
      <c r="C5" s="14"/>
      <c r="D5" s="14"/>
      <c r="E5" s="196"/>
      <c r="F5" s="14"/>
      <c r="G5" s="14"/>
    </row>
    <row r="6" spans="1:14" x14ac:dyDescent="0.3">
      <c r="A6" s="14"/>
      <c r="B6" s="14"/>
      <c r="C6" s="14"/>
      <c r="D6" s="196"/>
      <c r="E6" s="196"/>
      <c r="F6" s="14"/>
      <c r="G6" s="14"/>
    </row>
    <row r="7" spans="1:14" x14ac:dyDescent="0.3">
      <c r="A7" s="14"/>
      <c r="B7" s="14"/>
      <c r="C7" s="14"/>
      <c r="D7" s="196"/>
      <c r="E7" s="196"/>
      <c r="F7" s="14"/>
      <c r="G7" s="14"/>
    </row>
    <row r="8" spans="1:14" x14ac:dyDescent="0.3">
      <c r="A8" s="14"/>
      <c r="B8" s="14"/>
      <c r="C8" s="14"/>
      <c r="D8" s="196"/>
      <c r="E8" s="196"/>
      <c r="F8" s="14"/>
      <c r="G8" s="14"/>
    </row>
    <row r="9" spans="1:14" x14ac:dyDescent="0.3">
      <c r="A9" s="14"/>
      <c r="B9" s="14"/>
      <c r="C9" s="16"/>
      <c r="D9" s="196"/>
      <c r="E9" s="196"/>
      <c r="F9" s="14"/>
      <c r="G9" s="14"/>
    </row>
    <row r="10" spans="1:14" ht="16.8" x14ac:dyDescent="0.4">
      <c r="A10" s="14"/>
      <c r="B10" s="118" t="s">
        <v>55</v>
      </c>
      <c r="C10" s="17"/>
      <c r="D10" s="196"/>
      <c r="E10" s="18"/>
      <c r="F10" s="18"/>
      <c r="G10" s="14"/>
    </row>
    <row r="11" spans="1:14" ht="15.6" thickBot="1" x14ac:dyDescent="0.4">
      <c r="A11" s="14"/>
      <c r="B11" s="18"/>
      <c r="C11" s="18"/>
      <c r="D11" s="196"/>
      <c r="E11" s="18"/>
      <c r="F11" s="18"/>
      <c r="G11" s="14"/>
    </row>
    <row r="12" spans="1:14" ht="15" customHeight="1" thickTop="1" thickBot="1" x14ac:dyDescent="0.4">
      <c r="A12" s="14"/>
      <c r="B12" s="119" t="s">
        <v>56</v>
      </c>
      <c r="C12" s="110" t="s">
        <v>177</v>
      </c>
      <c r="D12" s="196" t="e" vm="1">
        <v>#VALUE!</v>
      </c>
      <c r="E12" s="194" t="s">
        <v>58</v>
      </c>
      <c r="F12" s="195"/>
      <c r="G12" s="20"/>
    </row>
    <row r="13" spans="1:14" ht="15" customHeight="1" thickTop="1" thickBot="1" x14ac:dyDescent="0.4">
      <c r="A13" s="14"/>
      <c r="B13" s="119" t="s">
        <v>59</v>
      </c>
      <c r="C13" s="110" t="s">
        <v>278</v>
      </c>
      <c r="D13" s="196"/>
      <c r="E13" s="111" t="s">
        <v>60</v>
      </c>
      <c r="F13" s="115"/>
      <c r="G13" s="20"/>
    </row>
    <row r="14" spans="1:14" ht="15" customHeight="1" thickTop="1" thickBot="1" x14ac:dyDescent="0.4">
      <c r="A14" s="14"/>
      <c r="B14" s="119" t="s">
        <v>61</v>
      </c>
      <c r="C14" s="110"/>
      <c r="D14" s="196"/>
      <c r="E14" s="111" t="s">
        <v>62</v>
      </c>
      <c r="F14" s="116"/>
      <c r="G14" s="14"/>
    </row>
    <row r="15" spans="1:14" ht="15" customHeight="1" thickTop="1" thickBot="1" x14ac:dyDescent="0.4">
      <c r="A15" s="14"/>
      <c r="B15" s="119" t="s">
        <v>63</v>
      </c>
      <c r="C15" s="110">
        <v>23125</v>
      </c>
      <c r="D15" s="196"/>
      <c r="E15" s="112"/>
      <c r="F15" s="112"/>
      <c r="G15" s="14"/>
    </row>
    <row r="16" spans="1:14" ht="15" customHeight="1" thickTop="1" thickBot="1" x14ac:dyDescent="0.4">
      <c r="A16" s="14"/>
      <c r="B16" s="119" t="s">
        <v>64</v>
      </c>
      <c r="C16" s="110">
        <v>122280</v>
      </c>
      <c r="D16" s="196"/>
      <c r="E16" s="111" t="s">
        <v>65</v>
      </c>
      <c r="F16" s="117">
        <v>46135</v>
      </c>
      <c r="G16" s="21"/>
      <c r="H16" s="3"/>
    </row>
    <row r="17" spans="1:13" ht="15" customHeight="1" thickTop="1" thickBot="1" x14ac:dyDescent="0.4">
      <c r="A17" s="14"/>
      <c r="B17" s="119" t="s">
        <v>66</v>
      </c>
      <c r="C17" s="110"/>
      <c r="D17" s="196"/>
      <c r="E17" s="111" t="s">
        <v>67</v>
      </c>
      <c r="F17" s="117">
        <v>46153</v>
      </c>
      <c r="G17" s="14"/>
    </row>
    <row r="18" spans="1:13" ht="15" customHeight="1" thickTop="1" thickBot="1" x14ac:dyDescent="0.4">
      <c r="A18" s="14"/>
      <c r="B18" s="119" t="s">
        <v>68</v>
      </c>
      <c r="C18" s="110" t="s">
        <v>298</v>
      </c>
      <c r="D18" s="196"/>
      <c r="E18" s="114"/>
      <c r="F18" s="113"/>
      <c r="G18" s="14"/>
    </row>
    <row r="19" spans="1:13" ht="16.2" thickTop="1" thickBot="1" x14ac:dyDescent="0.4">
      <c r="A19" s="14"/>
      <c r="B19" s="119" t="s">
        <v>69</v>
      </c>
      <c r="C19" s="110" t="s">
        <v>299</v>
      </c>
      <c r="D19" s="19"/>
      <c r="E19" s="111" t="s">
        <v>70</v>
      </c>
      <c r="F19" s="116" t="s">
        <v>71</v>
      </c>
      <c r="G19" s="14"/>
    </row>
    <row r="20" spans="1:13" ht="16.2" thickTop="1" thickBot="1" x14ac:dyDescent="0.4">
      <c r="A20" s="14"/>
      <c r="B20" s="119" t="s">
        <v>72</v>
      </c>
      <c r="C20" s="110" t="s">
        <v>186</v>
      </c>
      <c r="D20" s="19"/>
      <c r="E20" s="22"/>
      <c r="F20" s="22"/>
      <c r="G20" s="14"/>
    </row>
    <row r="21" spans="1:13" ht="16.2" thickTop="1" thickBot="1" x14ac:dyDescent="0.4">
      <c r="A21" s="14"/>
      <c r="B21" s="119" t="s">
        <v>73</v>
      </c>
      <c r="C21" s="110" t="s">
        <v>300</v>
      </c>
      <c r="D21" s="22"/>
      <c r="E21" s="111" t="s">
        <v>74</v>
      </c>
      <c r="F21" s="116" t="s">
        <v>277</v>
      </c>
      <c r="G21" s="14"/>
    </row>
    <row r="22" spans="1:13" ht="16.2" thickTop="1" thickBot="1" x14ac:dyDescent="0.4">
      <c r="A22" s="14"/>
      <c r="B22" s="119" t="s">
        <v>75</v>
      </c>
      <c r="C22" s="110" t="s">
        <v>280</v>
      </c>
      <c r="D22" s="22"/>
      <c r="E22" s="114"/>
      <c r="F22" s="22"/>
      <c r="G22" s="14"/>
    </row>
    <row r="23" spans="1:13" ht="16.2" thickTop="1" thickBot="1" x14ac:dyDescent="0.4">
      <c r="A23" s="14"/>
      <c r="B23" s="119" t="s">
        <v>73</v>
      </c>
      <c r="C23" s="110" t="s">
        <v>279</v>
      </c>
      <c r="D23" s="22"/>
      <c r="E23" s="111" t="s">
        <v>76</v>
      </c>
      <c r="F23" s="116" t="s">
        <v>77</v>
      </c>
      <c r="G23" s="14"/>
    </row>
    <row r="24" spans="1:13" ht="15.6" thickTop="1" x14ac:dyDescent="0.35">
      <c r="A24" s="14"/>
      <c r="B24" s="108" t="s">
        <v>78</v>
      </c>
      <c r="C24" s="18"/>
      <c r="D24" s="22"/>
      <c r="E24" s="22"/>
      <c r="F24" s="18"/>
      <c r="G24" s="14"/>
    </row>
    <row r="25" spans="1:13" ht="15.6" thickBot="1" x14ac:dyDescent="0.4">
      <c r="A25" s="14"/>
      <c r="B25" s="30" t="s">
        <v>79</v>
      </c>
      <c r="C25" s="23"/>
      <c r="D25" s="22"/>
      <c r="E25" s="108" t="s">
        <v>80</v>
      </c>
      <c r="F25" s="109"/>
      <c r="G25" s="14"/>
    </row>
    <row r="26" spans="1:13" ht="16.2" thickTop="1" thickBot="1" x14ac:dyDescent="0.4">
      <c r="A26" s="14"/>
      <c r="B26" s="120" t="s">
        <v>81</v>
      </c>
      <c r="C26" s="121" t="s">
        <v>82</v>
      </c>
      <c r="D26" s="22"/>
      <c r="E26" s="108"/>
      <c r="F26" s="109"/>
      <c r="G26" s="14"/>
    </row>
    <row r="27" spans="1:13" ht="16.2" thickTop="1" thickBot="1" x14ac:dyDescent="0.4">
      <c r="A27" s="14"/>
      <c r="B27" s="120" t="s">
        <v>83</v>
      </c>
      <c r="C27" s="122">
        <v>46113</v>
      </c>
      <c r="D27" s="196"/>
      <c r="E27" s="109"/>
      <c r="F27" s="109"/>
      <c r="G27" s="14"/>
    </row>
    <row r="28" spans="1:13" ht="16.2" thickTop="1" thickBot="1" x14ac:dyDescent="0.4">
      <c r="A28" s="14"/>
      <c r="B28" s="120" t="s">
        <v>84</v>
      </c>
      <c r="C28" s="121" t="s">
        <v>85</v>
      </c>
      <c r="D28" s="196"/>
      <c r="E28" s="109"/>
      <c r="F28" s="109"/>
      <c r="G28" s="14"/>
    </row>
    <row r="29" spans="1:13" ht="15.6" thickTop="1" x14ac:dyDescent="0.35">
      <c r="A29" s="14"/>
      <c r="B29" s="24"/>
      <c r="C29" s="24"/>
      <c r="D29" s="196"/>
      <c r="E29" s="22"/>
      <c r="F29" s="18"/>
      <c r="G29" s="14"/>
      <c r="L29"/>
    </row>
    <row r="30" spans="1:13" x14ac:dyDescent="0.3">
      <c r="A30" s="14"/>
      <c r="B30" s="14"/>
      <c r="C30" s="14"/>
      <c r="D30" s="196"/>
      <c r="E30" s="25"/>
      <c r="F30" s="25"/>
      <c r="G30" s="14"/>
    </row>
    <row r="31" spans="1:13" x14ac:dyDescent="0.3">
      <c r="A31" s="14"/>
      <c r="B31" s="14"/>
      <c r="C31" s="14"/>
      <c r="D31" s="196"/>
      <c r="E31" s="25"/>
      <c r="F31" s="14"/>
      <c r="G31" s="14"/>
      <c r="M31" s="3"/>
    </row>
    <row r="32" spans="1:13" x14ac:dyDescent="0.3">
      <c r="A32" s="14"/>
      <c r="B32" s="14"/>
      <c r="C32" s="14"/>
      <c r="D32" s="196"/>
      <c r="E32" s="25"/>
      <c r="F32" s="14"/>
      <c r="G32" s="14"/>
    </row>
    <row r="33" spans="1:15" x14ac:dyDescent="0.3">
      <c r="A33" s="14"/>
      <c r="B33" s="14"/>
      <c r="C33" s="14"/>
      <c r="D33" s="24"/>
      <c r="E33" s="25"/>
      <c r="F33" s="14"/>
      <c r="G33" s="26"/>
      <c r="M33" s="3"/>
      <c r="N33" s="3"/>
      <c r="O33" s="3"/>
    </row>
    <row r="34" spans="1:15" x14ac:dyDescent="0.3">
      <c r="A34" s="14"/>
      <c r="B34" s="14"/>
      <c r="C34" s="14"/>
      <c r="D34" s="25"/>
      <c r="E34" s="25"/>
      <c r="F34" s="14"/>
      <c r="G34" s="14"/>
    </row>
    <row r="35" spans="1:15" x14ac:dyDescent="0.3">
      <c r="A35" s="14"/>
      <c r="B35" s="14"/>
      <c r="C35" s="14"/>
      <c r="D35" s="25"/>
      <c r="E35" s="25"/>
      <c r="F35" s="14"/>
      <c r="G35" s="14"/>
    </row>
    <row r="36" spans="1:15" x14ac:dyDescent="0.3">
      <c r="A36" s="14"/>
      <c r="B36" s="14"/>
      <c r="C36" s="14"/>
      <c r="D36" s="27"/>
      <c r="E36" s="14"/>
      <c r="F36" s="14"/>
      <c r="G36" s="14"/>
    </row>
    <row r="37" spans="1:15" hidden="1" x14ac:dyDescent="0.3">
      <c r="A37" s="14"/>
      <c r="B37" s="14"/>
      <c r="C37" s="14"/>
      <c r="D37" s="27"/>
      <c r="E37" s="14"/>
      <c r="F37" s="14"/>
      <c r="G37" s="14"/>
    </row>
    <row r="38" spans="1:15" hidden="1" x14ac:dyDescent="0.3">
      <c r="A38" s="14"/>
      <c r="B38" s="14"/>
      <c r="C38" s="14"/>
      <c r="D38" s="27"/>
      <c r="E38" s="14"/>
      <c r="F38" s="14"/>
      <c r="G38" s="14"/>
    </row>
    <row r="39" spans="1:15" hidden="1" x14ac:dyDescent="0.3">
      <c r="A39" s="14"/>
      <c r="B39" s="14"/>
      <c r="C39" s="14"/>
      <c r="D39" s="28"/>
      <c r="E39" s="14"/>
      <c r="F39" s="14"/>
      <c r="G39" s="14"/>
    </row>
    <row r="40" spans="1:15" hidden="1" x14ac:dyDescent="0.3">
      <c r="A40" s="14"/>
      <c r="B40" s="14"/>
      <c r="C40" s="14"/>
      <c r="D40" s="28"/>
      <c r="E40" s="14"/>
      <c r="F40" s="14"/>
      <c r="G40" s="14"/>
    </row>
    <row r="41" spans="1:15" hidden="1" x14ac:dyDescent="0.3">
      <c r="A41" s="14"/>
      <c r="B41" s="14"/>
      <c r="C41" s="14"/>
      <c r="D41" s="28"/>
      <c r="E41" s="14"/>
      <c r="F41" s="14"/>
      <c r="G41" s="14"/>
    </row>
    <row r="42" spans="1:15" hidden="1" x14ac:dyDescent="0.3">
      <c r="A42" s="14"/>
      <c r="B42" s="14"/>
      <c r="C42" s="14"/>
      <c r="D42" s="14"/>
      <c r="E42" s="14"/>
      <c r="F42" s="14"/>
      <c r="G42" s="14"/>
    </row>
    <row r="43" spans="1:15" hidden="1" x14ac:dyDescent="0.3">
      <c r="A43" s="14"/>
      <c r="B43" s="14"/>
      <c r="C43" s="14"/>
      <c r="D43" s="14"/>
      <c r="E43" s="14"/>
      <c r="F43" s="14"/>
      <c r="G43" s="14"/>
    </row>
    <row r="44" spans="1:15" hidden="1" x14ac:dyDescent="0.3">
      <c r="A44" s="14"/>
      <c r="B44" s="14"/>
      <c r="C44" s="14"/>
      <c r="D44" s="14"/>
      <c r="E44" s="14"/>
      <c r="F44" s="14"/>
      <c r="G44" s="14"/>
    </row>
    <row r="45" spans="1:15" hidden="1" x14ac:dyDescent="0.3">
      <c r="A45" s="14"/>
      <c r="B45" s="14"/>
      <c r="C45" s="14"/>
      <c r="D45" s="14"/>
      <c r="E45" s="14"/>
      <c r="F45" s="14"/>
      <c r="G45" s="14"/>
    </row>
    <row r="46" spans="1:15" hidden="1" x14ac:dyDescent="0.3">
      <c r="A46" s="14"/>
      <c r="B46" s="14"/>
      <c r="C46" s="14"/>
      <c r="D46" s="14"/>
      <c r="E46" s="14"/>
      <c r="F46" s="14"/>
      <c r="G46" s="14"/>
    </row>
    <row r="47" spans="1:15" hidden="1" x14ac:dyDescent="0.3">
      <c r="A47" s="14"/>
      <c r="B47" s="14"/>
      <c r="C47" s="14"/>
      <c r="D47" s="14"/>
      <c r="E47" s="14"/>
      <c r="F47" s="14"/>
      <c r="G47" s="14"/>
    </row>
    <row r="48" spans="1:15" hidden="1" x14ac:dyDescent="0.3">
      <c r="A48" s="14"/>
      <c r="B48" s="14"/>
      <c r="C48" s="14"/>
      <c r="D48" s="14"/>
      <c r="E48" s="14"/>
      <c r="F48" s="14"/>
      <c r="G48" s="14"/>
    </row>
    <row r="49" spans="1:7" hidden="1" x14ac:dyDescent="0.3">
      <c r="A49" s="14"/>
      <c r="B49" s="14"/>
      <c r="C49" s="14"/>
      <c r="D49" s="14"/>
      <c r="E49" s="14"/>
      <c r="F49" s="14"/>
      <c r="G49" s="14"/>
    </row>
    <row r="50" spans="1:7" hidden="1" x14ac:dyDescent="0.3">
      <c r="A50" s="14"/>
      <c r="B50" s="14"/>
      <c r="C50" s="14"/>
      <c r="D50" s="14"/>
      <c r="E50" s="14"/>
      <c r="F50" s="14"/>
      <c r="G50" s="14"/>
    </row>
    <row r="51" spans="1:7" hidden="1" x14ac:dyDescent="0.3">
      <c r="A51" s="14"/>
      <c r="B51" s="14"/>
      <c r="C51" s="14"/>
      <c r="D51" s="14"/>
      <c r="E51" s="14"/>
      <c r="F51" s="14"/>
      <c r="G51" s="14"/>
    </row>
    <row r="52" spans="1:7" hidden="1" x14ac:dyDescent="0.3">
      <c r="A52" s="14"/>
      <c r="B52" s="14"/>
      <c r="C52" s="14"/>
      <c r="D52" s="14"/>
      <c r="E52" s="14"/>
      <c r="F52" s="14"/>
      <c r="G52" s="14"/>
    </row>
    <row r="53" spans="1:7" hidden="1" x14ac:dyDescent="0.3">
      <c r="A53" s="14"/>
      <c r="B53" s="14"/>
      <c r="C53" s="14"/>
      <c r="D53" s="14"/>
      <c r="E53" s="14"/>
      <c r="F53" s="14"/>
      <c r="G53" s="14"/>
    </row>
    <row r="54" spans="1:7" hidden="1" x14ac:dyDescent="0.3">
      <c r="A54" s="14"/>
      <c r="B54" s="14"/>
      <c r="C54" s="14"/>
      <c r="D54" s="14"/>
      <c r="E54" s="14"/>
      <c r="F54" s="14"/>
      <c r="G54" s="14"/>
    </row>
    <row r="55" spans="1:7" hidden="1" x14ac:dyDescent="0.3">
      <c r="A55" s="14"/>
      <c r="B55" s="14"/>
      <c r="C55" s="14"/>
      <c r="D55" s="14"/>
      <c r="E55" s="14"/>
      <c r="F55" s="14"/>
      <c r="G55" s="14"/>
    </row>
    <row r="56" spans="1:7" hidden="1" x14ac:dyDescent="0.3">
      <c r="A56" s="14"/>
      <c r="B56" s="14"/>
      <c r="C56" s="14"/>
      <c r="D56" s="14"/>
      <c r="E56" s="14"/>
      <c r="F56" s="14"/>
      <c r="G56" s="14"/>
    </row>
    <row r="57" spans="1:7" hidden="1" x14ac:dyDescent="0.3">
      <c r="A57" s="14"/>
      <c r="B57" s="29"/>
      <c r="C57" s="14"/>
      <c r="D57" s="14"/>
      <c r="E57" s="14"/>
      <c r="F57" s="14"/>
      <c r="G57" s="14"/>
    </row>
    <row r="58" spans="1:7" hidden="1" x14ac:dyDescent="0.3">
      <c r="A58" s="14"/>
      <c r="B58" s="29"/>
      <c r="C58" s="14"/>
      <c r="D58" s="14"/>
      <c r="E58" s="14"/>
      <c r="F58" s="14"/>
      <c r="G58" s="14"/>
    </row>
    <row r="59" spans="1:7" hidden="1" x14ac:dyDescent="0.3">
      <c r="A59" s="14"/>
      <c r="B59" s="14"/>
      <c r="C59" s="14"/>
      <c r="D59" s="14"/>
      <c r="E59" s="14"/>
      <c r="F59" s="14"/>
      <c r="G59" s="14"/>
    </row>
    <row r="60" spans="1:7" hidden="1" x14ac:dyDescent="0.3">
      <c r="A60" s="14"/>
      <c r="B60" s="14"/>
      <c r="C60" s="14"/>
      <c r="D60" s="14"/>
      <c r="E60" s="14"/>
      <c r="F60" s="14"/>
      <c r="G60" s="14"/>
    </row>
    <row r="61" spans="1:7" hidden="1" x14ac:dyDescent="0.3">
      <c r="A61" s="14"/>
      <c r="B61" s="14"/>
      <c r="C61" s="14"/>
      <c r="D61" s="14"/>
      <c r="E61" s="14"/>
      <c r="F61" s="14"/>
      <c r="G61" s="14"/>
    </row>
    <row r="62" spans="1:7" hidden="1" x14ac:dyDescent="0.3">
      <c r="A62" s="14"/>
      <c r="B62" s="14"/>
      <c r="C62" s="14"/>
      <c r="D62" s="14"/>
      <c r="E62" s="14"/>
      <c r="F62" s="14"/>
      <c r="G62" s="14"/>
    </row>
    <row r="63" spans="1:7" hidden="1" x14ac:dyDescent="0.3">
      <c r="A63" s="14"/>
      <c r="B63" s="14"/>
      <c r="C63" s="14"/>
      <c r="D63" s="14"/>
      <c r="E63" s="14"/>
      <c r="F63" s="14"/>
      <c r="G63" s="14"/>
    </row>
    <row r="64" spans="1:7" hidden="1" x14ac:dyDescent="0.3">
      <c r="A64" s="14"/>
      <c r="B64" s="14"/>
      <c r="C64" s="14"/>
      <c r="D64" s="14"/>
      <c r="E64" s="14"/>
      <c r="F64" s="14"/>
      <c r="G64" s="14"/>
    </row>
    <row r="65" spans="1:7" hidden="1" x14ac:dyDescent="0.3">
      <c r="A65" s="14"/>
      <c r="D65" s="14"/>
      <c r="E65" s="14"/>
      <c r="F65" s="14"/>
      <c r="G65" s="14"/>
    </row>
    <row r="66" spans="1:7" hidden="1" x14ac:dyDescent="0.3">
      <c r="A66" s="14"/>
      <c r="D66" s="14"/>
      <c r="E66" s="25"/>
      <c r="F66" s="14"/>
      <c r="G66" s="14"/>
    </row>
    <row r="67" spans="1:7" hidden="1" x14ac:dyDescent="0.3">
      <c r="A67" s="14"/>
      <c r="B67" s="14"/>
      <c r="C67" s="14"/>
      <c r="D67" s="14"/>
      <c r="G67" s="14"/>
    </row>
    <row r="68" spans="1:7" x14ac:dyDescent="0.3">
      <c r="A68" s="14"/>
      <c r="D68" s="14"/>
      <c r="G68" s="14"/>
    </row>
  </sheetData>
  <sheetProtection algorithmName="SHA-512" hashValue="UXsXIkpQQQ2gFsgTWTw0yGA08p0rTMqDrTg+ilhtSd/gSPPlEXLqEUY9wkoqOx7rgVZNjQN5u23MaHPScRh90A==" saltValue="APuUisUWp1suZfb5yW+rUQ==" spinCount="100000" sheet="1" objects="1" scenarios="1"/>
  <mergeCells count="5">
    <mergeCell ref="E12:F12"/>
    <mergeCell ref="D27:D32"/>
    <mergeCell ref="D12:D18"/>
    <mergeCell ref="E4:E9"/>
    <mergeCell ref="D6:D11"/>
  </mergeCells>
  <dataValidations xWindow="867" yWindow="862" count="2">
    <dataValidation allowBlank="1" showInputMessage="1" showErrorMessage="1" prompt="Insert link to design document for more context on this change request." sqref="E21" xr:uid="{217E2052-B4EC-4EB5-9280-55B484AB37CF}"/>
    <dataValidation allowBlank="1" showInputMessage="1" showErrorMessage="1" prompt="IF YES = Form MUST be Password PROTECTED!" sqref="E23" xr:uid="{96817F2C-A140-4586-9B41-252FE1B9ACF1}"/>
  </dataValidations>
  <hyperlinks>
    <hyperlink ref="D12" location="Explanation!A1" display="Explanation!A1" xr:uid="{99A965BC-F26D-4823-B2CD-69C86C87BA4D}"/>
    <hyperlink ref="D12:D18" location="'2. Explanation'!A1" display="'2. Explanation'!A1" xr:uid="{22FB6C32-81CD-449C-A0D1-9DC3E632D841}"/>
  </hyperlinks>
  <pageMargins left="0.7" right="0.7" top="0.75" bottom="0.75" header="0.3" footer="0.3"/>
  <pageSetup paperSize="9" orientation="landscape" r:id="rId1"/>
  <headerFooter>
    <oddFooter>&amp;C_x000D_&amp;1#&amp;"Calibri"&amp;10&amp;KFF7900 Orange Restricted</oddFooter>
  </headerFooter>
  <drawing r:id="rId2"/>
  <legacyDrawing r:id="rId3"/>
  <extLst>
    <ext xmlns:x14="http://schemas.microsoft.com/office/spreadsheetml/2009/9/main" uri="{CCE6A557-97BC-4b89-ADB6-D9C93CAAB3DF}">
      <x14:dataValidations xmlns:xm="http://schemas.microsoft.com/office/excel/2006/main" xWindow="867" yWindow="862" count="4">
        <x14:dataValidation type="list" allowBlank="1" showInputMessage="1" showErrorMessage="1" xr:uid="{2CDA5684-32B8-4D15-87E0-758717AC1801}">
          <x14:formula1>
            <xm:f>Content!$B$3:$B$5</xm:f>
          </x14:formula1>
          <xm:sqref>F19</xm:sqref>
        </x14:dataValidation>
        <x14:dataValidation type="list" allowBlank="1" showInputMessage="1" showErrorMessage="1" xr:uid="{A5CDDFA4-2987-4326-9FBF-79E1E986E9C7}">
          <x14:formula1>
            <xm:f>Content!$D$12:$D$13</xm:f>
          </x14:formula1>
          <xm:sqref>F23</xm:sqref>
        </x14:dataValidation>
        <x14:dataValidation type="list" allowBlank="1" showInputMessage="1" showErrorMessage="1" prompt="for future use now." xr:uid="{9EE1CE3B-3797-4094-9A49-E607717D92CA}">
          <x14:formula1>
            <xm:f>Content!$R$3:$R$8</xm:f>
          </x14:formula1>
          <xm:sqref>C20</xm:sqref>
        </x14:dataValidation>
        <x14:dataValidation type="list" allowBlank="1" showInputMessage="1" showErrorMessage="1" xr:uid="{51C6181A-B003-4AEA-9ADD-9FFD7A355639}">
          <x14:formula1>
            <xm:f>Content!$V$3:$V$6</xm:f>
          </x14:formula1>
          <xm:sqref>C12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42E9B-45EC-4C67-A060-5DAF7DD76EF6}">
  <dimension ref="A1:BI110"/>
  <sheetViews>
    <sheetView topLeftCell="A23" zoomScale="85" zoomScaleNormal="85" workbookViewId="0">
      <selection activeCell="E41" sqref="E41"/>
    </sheetView>
  </sheetViews>
  <sheetFormatPr defaultColWidth="0" defaultRowHeight="15" zeroHeight="1" x14ac:dyDescent="0.35"/>
  <cols>
    <col min="1" max="1" width="8.5546875" style="11" customWidth="1"/>
    <col min="2" max="2" width="6.33203125" style="11" customWidth="1"/>
    <col min="3" max="3" width="43.33203125" style="11" customWidth="1"/>
    <col min="4" max="4" width="16.109375" style="11" customWidth="1"/>
    <col min="5" max="5" width="30.88671875" style="11" customWidth="1"/>
    <col min="6" max="6" width="29" style="11" customWidth="1"/>
    <col min="7" max="7" width="31.33203125" style="11" customWidth="1"/>
    <col min="8" max="8" width="6.88671875" style="11" hidden="1" customWidth="1"/>
    <col min="9" max="9" width="33" style="11" bestFit="1" customWidth="1"/>
    <col min="10" max="10" width="17.44140625" style="11" customWidth="1"/>
    <col min="11" max="11" width="29.33203125" style="11" customWidth="1"/>
    <col min="12" max="12" width="30.5546875" style="11" customWidth="1"/>
    <col min="13" max="13" width="32.5546875" style="11" customWidth="1"/>
    <col min="14" max="14" width="29.44140625" style="12" bestFit="1" customWidth="1"/>
    <col min="15" max="15" width="10.6640625" style="12" customWidth="1"/>
    <col min="16" max="16" width="16.6640625" style="12" customWidth="1"/>
    <col min="17" max="17" width="10.6640625" style="12" customWidth="1"/>
    <col min="18" max="18" width="15.88671875" style="12" bestFit="1" customWidth="1"/>
    <col min="19" max="19" width="21.33203125" style="12" hidden="1" customWidth="1"/>
    <col min="20" max="20" width="56.5546875" style="12" hidden="1" customWidth="1"/>
    <col min="21" max="21" width="26" style="12" customWidth="1"/>
    <col min="22" max="22" width="27.33203125" style="12" customWidth="1"/>
    <col min="23" max="23" width="8.5546875" style="11" customWidth="1"/>
    <col min="24" max="61" width="0" style="11" hidden="1" customWidth="1"/>
    <col min="62" max="16384" width="9.109375" style="11" hidden="1"/>
  </cols>
  <sheetData>
    <row r="1" spans="1:23" s="12" customFormat="1" ht="15" customHeight="1" x14ac:dyDescent="0.7">
      <c r="A1" s="18"/>
      <c r="B1" s="31"/>
      <c r="C1" s="32"/>
      <c r="D1" s="32"/>
      <c r="E1" s="18"/>
      <c r="F1" s="18"/>
      <c r="G1" s="18"/>
      <c r="H1" s="18"/>
      <c r="I1" s="18"/>
      <c r="J1" s="18"/>
      <c r="K1" s="18"/>
      <c r="L1" s="18"/>
      <c r="M1" s="18"/>
      <c r="N1" s="18"/>
      <c r="O1" s="18"/>
      <c r="P1" s="18"/>
      <c r="Q1" s="18"/>
      <c r="R1" s="18"/>
      <c r="S1" s="18"/>
      <c r="T1" s="18"/>
      <c r="U1" s="18"/>
      <c r="V1" s="18"/>
      <c r="W1" s="18"/>
    </row>
    <row r="2" spans="1:23" s="12" customFormat="1" x14ac:dyDescent="0.35">
      <c r="A2" s="18"/>
      <c r="B2" s="33"/>
      <c r="C2" s="18"/>
      <c r="D2" s="18"/>
      <c r="E2" s="18"/>
      <c r="F2" s="18"/>
      <c r="G2" s="18"/>
      <c r="H2" s="18"/>
      <c r="I2" s="205"/>
      <c r="J2" s="19"/>
      <c r="K2" s="18"/>
      <c r="L2" s="18"/>
      <c r="M2" s="18"/>
      <c r="N2" s="18"/>
      <c r="O2" s="18"/>
      <c r="P2" s="18"/>
      <c r="Q2" s="18"/>
      <c r="R2" s="18"/>
      <c r="S2" s="18"/>
      <c r="T2" s="18"/>
      <c r="U2" s="18"/>
      <c r="V2" s="18"/>
      <c r="W2" s="18"/>
    </row>
    <row r="3" spans="1:23" s="12" customFormat="1" x14ac:dyDescent="0.35">
      <c r="A3" s="18"/>
      <c r="B3" s="33"/>
      <c r="C3" s="18"/>
      <c r="D3" s="18"/>
      <c r="E3" s="18"/>
      <c r="F3" s="18"/>
      <c r="G3" s="18"/>
      <c r="H3" s="18"/>
      <c r="I3" s="205"/>
      <c r="J3" s="19"/>
      <c r="K3" s="18"/>
      <c r="L3" s="18"/>
      <c r="M3" s="18"/>
      <c r="N3" s="18"/>
      <c r="O3" s="18"/>
      <c r="P3" s="18"/>
      <c r="Q3" s="18"/>
      <c r="R3" s="18"/>
      <c r="S3" s="18"/>
      <c r="T3" s="18"/>
      <c r="U3" s="18"/>
      <c r="V3" s="18"/>
      <c r="W3" s="18"/>
    </row>
    <row r="4" spans="1:23" s="12" customFormat="1" x14ac:dyDescent="0.35">
      <c r="A4" s="18"/>
      <c r="B4" s="33"/>
      <c r="C4" s="18"/>
      <c r="D4" s="18"/>
      <c r="E4" s="18"/>
      <c r="F4" s="18"/>
      <c r="G4" s="18"/>
      <c r="H4" s="18"/>
      <c r="I4" s="205"/>
      <c r="J4" s="19"/>
      <c r="K4" s="18"/>
      <c r="L4" s="18"/>
      <c r="M4" s="18"/>
      <c r="N4" s="18"/>
      <c r="O4" s="18"/>
      <c r="P4" s="18"/>
      <c r="Q4" s="18"/>
      <c r="R4" s="18"/>
      <c r="S4" s="18"/>
      <c r="T4" s="18"/>
      <c r="U4" s="18"/>
      <c r="V4" s="18"/>
      <c r="W4" s="18"/>
    </row>
    <row r="5" spans="1:23" s="12" customFormat="1" x14ac:dyDescent="0.35">
      <c r="A5" s="18"/>
      <c r="B5" s="33"/>
      <c r="C5" s="18"/>
      <c r="D5" s="18"/>
      <c r="E5" s="18"/>
      <c r="F5" s="18"/>
      <c r="G5" s="18"/>
      <c r="H5" s="18"/>
      <c r="I5" s="205"/>
      <c r="J5" s="19"/>
      <c r="K5" s="18"/>
      <c r="L5" s="18"/>
      <c r="M5" s="18"/>
      <c r="N5" s="18"/>
      <c r="O5" s="18"/>
      <c r="P5" s="18"/>
      <c r="Q5" s="18"/>
      <c r="R5" s="18"/>
      <c r="S5" s="18"/>
      <c r="T5" s="18"/>
      <c r="U5" s="18"/>
      <c r="V5" s="18"/>
      <c r="W5" s="18"/>
    </row>
    <row r="6" spans="1:23" s="12" customFormat="1" x14ac:dyDescent="0.35">
      <c r="A6" s="18"/>
      <c r="B6" s="33"/>
      <c r="C6" s="18"/>
      <c r="D6" s="18"/>
      <c r="E6" s="18"/>
      <c r="F6" s="18"/>
      <c r="G6" s="18"/>
      <c r="H6" s="18"/>
      <c r="I6" s="205"/>
      <c r="J6" s="19"/>
      <c r="K6" s="18"/>
      <c r="L6" s="18"/>
      <c r="M6" s="18"/>
      <c r="N6" s="18"/>
      <c r="O6" s="18"/>
      <c r="P6" s="18"/>
      <c r="Q6" s="18"/>
      <c r="R6" s="18"/>
      <c r="S6" s="18"/>
      <c r="T6" s="18"/>
      <c r="U6" s="18"/>
      <c r="V6" s="18"/>
      <c r="W6" s="18"/>
    </row>
    <row r="7" spans="1:23" s="12" customFormat="1" ht="15.6" thickBot="1" x14ac:dyDescent="0.4">
      <c r="A7" s="18"/>
      <c r="B7" s="33"/>
      <c r="C7" s="18"/>
      <c r="D7" s="18"/>
      <c r="E7" s="18"/>
      <c r="F7" s="18"/>
      <c r="G7" s="18"/>
      <c r="H7" s="18"/>
      <c r="I7" s="205"/>
      <c r="J7" s="19"/>
      <c r="K7" s="18"/>
      <c r="L7" s="18"/>
      <c r="M7" s="18"/>
      <c r="N7" s="18"/>
      <c r="O7" s="18"/>
      <c r="P7" s="18"/>
      <c r="Q7" s="18"/>
      <c r="R7" s="18"/>
      <c r="S7" s="18"/>
      <c r="T7" s="18"/>
      <c r="U7" s="18"/>
      <c r="V7" s="18"/>
      <c r="W7" s="18"/>
    </row>
    <row r="8" spans="1:23" s="12" customFormat="1" ht="16.2" thickTop="1" thickBot="1" x14ac:dyDescent="0.4">
      <c r="A8" s="18"/>
      <c r="B8" s="33"/>
      <c r="C8" s="18"/>
      <c r="D8" s="18"/>
      <c r="E8" s="123" t="s">
        <v>86</v>
      </c>
      <c r="F8" s="18"/>
      <c r="G8" s="18"/>
      <c r="H8" s="18"/>
      <c r="I8" s="18"/>
      <c r="J8" s="18"/>
      <c r="K8" s="18"/>
      <c r="L8" s="18"/>
      <c r="M8" s="18"/>
      <c r="N8" s="18"/>
      <c r="O8" s="18"/>
      <c r="P8" s="18"/>
      <c r="Q8" s="18"/>
      <c r="R8" s="18"/>
      <c r="S8" s="18"/>
      <c r="T8" s="18"/>
      <c r="U8" s="18"/>
      <c r="V8" s="18"/>
      <c r="W8" s="18"/>
    </row>
    <row r="9" spans="1:23" s="12" customFormat="1" ht="15.6" thickTop="1" x14ac:dyDescent="0.35">
      <c r="A9" s="18"/>
      <c r="B9" s="33"/>
      <c r="C9" s="18"/>
      <c r="D9" s="18"/>
      <c r="E9" s="18"/>
      <c r="F9" s="18"/>
      <c r="G9" s="18"/>
      <c r="H9" s="18"/>
      <c r="I9" s="18"/>
      <c r="J9" s="18"/>
      <c r="K9" s="18"/>
      <c r="L9" s="18"/>
      <c r="M9" s="18"/>
      <c r="N9" s="18"/>
      <c r="O9" s="18"/>
      <c r="P9" s="18"/>
      <c r="Q9" s="18"/>
      <c r="R9" s="18"/>
      <c r="S9" s="18"/>
      <c r="T9" s="18"/>
      <c r="U9" s="18"/>
      <c r="V9" s="18"/>
      <c r="W9" s="18"/>
    </row>
    <row r="10" spans="1:23" s="12" customFormat="1" ht="15.6" thickBot="1" x14ac:dyDescent="0.4">
      <c r="A10" s="18"/>
      <c r="B10" s="33"/>
      <c r="C10" s="18"/>
      <c r="D10" s="18"/>
      <c r="E10" s="18"/>
      <c r="F10" s="18"/>
      <c r="G10" s="18"/>
      <c r="H10" s="18"/>
      <c r="I10" s="18"/>
      <c r="J10" s="18"/>
      <c r="K10" s="18"/>
      <c r="L10" s="18"/>
      <c r="M10" s="18"/>
      <c r="N10" s="18"/>
      <c r="O10" s="18"/>
      <c r="P10" s="18"/>
      <c r="Q10" s="18"/>
      <c r="R10" s="18"/>
      <c r="S10" s="18"/>
      <c r="T10" s="18"/>
      <c r="U10" s="18"/>
      <c r="V10" s="18"/>
      <c r="W10" s="18"/>
    </row>
    <row r="11" spans="1:23" ht="15.6" thickBot="1" x14ac:dyDescent="0.4">
      <c r="A11" s="18"/>
      <c r="B11" s="22"/>
      <c r="C11" s="22"/>
      <c r="D11" s="182"/>
      <c r="E11" s="203" t="s">
        <v>87</v>
      </c>
      <c r="F11" s="203"/>
      <c r="G11" s="203"/>
      <c r="H11" s="203"/>
      <c r="I11" s="203"/>
      <c r="J11" s="176"/>
      <c r="K11" s="203" t="s">
        <v>88</v>
      </c>
      <c r="L11" s="203"/>
      <c r="M11" s="204"/>
      <c r="N11" s="18"/>
      <c r="O11" s="18"/>
      <c r="P11" s="18"/>
      <c r="Q11" s="18"/>
      <c r="R11" s="22"/>
      <c r="S11" s="22"/>
      <c r="T11" s="22"/>
      <c r="U11" s="201" t="s">
        <v>89</v>
      </c>
      <c r="V11" s="202"/>
      <c r="W11" s="18"/>
    </row>
    <row r="12" spans="1:23" ht="15.6" thickBot="1" x14ac:dyDescent="0.4">
      <c r="A12" s="18"/>
      <c r="B12" s="68" t="s">
        <v>90</v>
      </c>
      <c r="C12" s="70" t="s">
        <v>6</v>
      </c>
      <c r="D12" s="181" t="s">
        <v>91</v>
      </c>
      <c r="E12" s="74" t="s">
        <v>92</v>
      </c>
      <c r="F12" s="75" t="s">
        <v>93</v>
      </c>
      <c r="G12" s="179" t="s">
        <v>94</v>
      </c>
      <c r="H12" s="180"/>
      <c r="I12" s="74" t="s">
        <v>95</v>
      </c>
      <c r="J12" s="74" t="s">
        <v>96</v>
      </c>
      <c r="K12" s="74" t="s">
        <v>97</v>
      </c>
      <c r="L12" s="75" t="s">
        <v>93</v>
      </c>
      <c r="M12" s="76" t="s">
        <v>94</v>
      </c>
      <c r="N12" s="74" t="s">
        <v>30</v>
      </c>
      <c r="O12" s="178" t="s">
        <v>98</v>
      </c>
      <c r="P12" s="186" t="s">
        <v>99</v>
      </c>
      <c r="Q12" s="187" t="s">
        <v>100</v>
      </c>
      <c r="R12" s="186" t="s">
        <v>101</v>
      </c>
      <c r="S12" s="35" t="s">
        <v>102</v>
      </c>
      <c r="T12" s="34" t="s">
        <v>103</v>
      </c>
      <c r="U12" s="129" t="s">
        <v>104</v>
      </c>
      <c r="V12" s="130" t="s">
        <v>105</v>
      </c>
      <c r="W12" s="18"/>
    </row>
    <row r="13" spans="1:23" x14ac:dyDescent="0.35">
      <c r="A13" s="18"/>
      <c r="B13" s="165" t="s">
        <v>106</v>
      </c>
      <c r="C13" s="136" t="s">
        <v>107</v>
      </c>
      <c r="D13" s="138">
        <v>123456</v>
      </c>
      <c r="E13" s="137" t="s">
        <v>108</v>
      </c>
      <c r="F13" s="138" t="s">
        <v>109</v>
      </c>
      <c r="G13" s="139" t="s">
        <v>110</v>
      </c>
      <c r="H13" s="140"/>
      <c r="I13" s="141" t="s">
        <v>23</v>
      </c>
      <c r="J13" s="138">
        <v>567890</v>
      </c>
      <c r="K13" s="177" t="s">
        <v>111</v>
      </c>
      <c r="L13" s="138" t="s">
        <v>112</v>
      </c>
      <c r="M13" s="139" t="s">
        <v>113</v>
      </c>
      <c r="N13" s="143" t="s">
        <v>114</v>
      </c>
      <c r="O13" s="183" t="s">
        <v>115</v>
      </c>
      <c r="P13" s="183">
        <v>53</v>
      </c>
      <c r="Q13" s="184" t="s">
        <v>116</v>
      </c>
      <c r="R13" s="185" t="s">
        <v>117</v>
      </c>
      <c r="S13" s="147" t="s">
        <v>118</v>
      </c>
      <c r="T13" s="148" t="s">
        <v>119</v>
      </c>
      <c r="U13" s="149" t="str" cm="1">
        <f t="array" ref="U13">IF(E13="","",IF(OR(ISNUMBER(SEARCH({"10.205.37";"10.205.38";"10.205.69";"10.205.31";"10.205.28";"10.205.27"},E13))),"Platform-Runtime and Azure OPS",
IF(OR(ISNUMBER(SEARCH({"10.229.16";"10.229.17";"10.229.18";"10.229.19";"10.229.20";"10.229.21";"10.229.25";"10.229.26"},E13))),"SDDC",
IF(OR(ISNUMBER(SEARCH({"10.220";"10.221";"10.222";"10.223";"10.224";"10.225";"10.229";"185.130.242"},E13))),"SDDC",
IF(OR(ISNUMBER(SEARCH({"10.226";"10.227";"10.205"},E13))),"Azure OPS and SDDC",
IF(AND(NOT(ISNUMBER(SEARCH({"10.220";"10.221";"10.222";"10.223";"10.224";"10.225";"10.229";"10.226";"10.227";"10.205";"10.205.37";"10.205.38";"10.205.69";"10.205.31";"10.205.28";"10.205.27";"10.229.16";"10.229.17";"10.229.18";"10.229.19";"10.229.20";"10.229.21";"10.229.25";"10.229.26"},E13)))),"SCT SI - OCD",""))))))</f>
        <v>SCT SI - OCD</v>
      </c>
      <c r="V13" s="150" t="str" cm="1">
        <f t="array" ref="V13">IF(K13="","",IF(OR(ISNUMBER(SEARCH({"10.205.37";"10.205.38";"10.205.69";"10.205.31";"10.205.28";"10.205.27"},K13))),"Platform-Runtime and Azure OPS",
IF(OR(ISNUMBER(SEARCH({"10.229.16";"10.229.17";"10.229.18";"10.229.19";"10.229.20";"10.229.21";"10.229.25";"10.229.26"},K13))),"SDDC",
IF(OR(ISNUMBER(SEARCH({"10.220";"10.221";"10.222";"10.223";"10.224";"10.225";"10.229"},K13))),"SDDC",
IF(OR(ISNUMBER(SEARCH({"10.226";"10.227";"10.205"},K13))),"Azure OPS and SDDC",
IF(AND(NOT(ISNUMBER(SEARCH({"10.220";"10.221";"10.222";"10.223";"10.224";"10.225";"10.229";"10.226";"10.227";"10.205";"10.205.37";"10.205.38";"10.205.69";"10.205.31";"10.205.28";"10.205.27";"10.229.16";"10.229.17";"10.229.18";"10.229.19";"10.229.20";"10.229.21";"10.229.25";"10.229.26"},K13)))),"SCT SI - OCD",""))))))</f>
        <v>SCT SI - OCD</v>
      </c>
      <c r="W13" s="18"/>
    </row>
    <row r="14" spans="1:23" ht="86.4" x14ac:dyDescent="0.35">
      <c r="A14" s="18"/>
      <c r="B14" s="78">
        <v>1</v>
      </c>
      <c r="C14" s="171" t="s">
        <v>294</v>
      </c>
      <c r="D14" s="37">
        <v>864228</v>
      </c>
      <c r="E14" s="38" t="s">
        <v>284</v>
      </c>
      <c r="F14" s="39"/>
      <c r="G14" s="36"/>
      <c r="H14" s="36"/>
      <c r="I14" s="36"/>
      <c r="J14" s="188">
        <v>290139</v>
      </c>
      <c r="K14" s="38" t="s">
        <v>281</v>
      </c>
      <c r="L14" s="39" t="s">
        <v>302</v>
      </c>
      <c r="M14" s="36"/>
      <c r="N14" s="36"/>
      <c r="O14" s="36" t="s">
        <v>35</v>
      </c>
      <c r="P14" s="192" t="s">
        <v>297</v>
      </c>
      <c r="Q14" s="40" t="s">
        <v>116</v>
      </c>
      <c r="R14" s="41" t="s">
        <v>117</v>
      </c>
      <c r="S14" s="42"/>
      <c r="T14" s="43"/>
      <c r="U14" s="131" t="str" cm="1">
        <f t="array" ref="U14">IF(E14="","",IF(OR(ISNUMBER(SEARCH({"10.205.37";"10.205.38";"10.205.69";"10.205.31";"10.205.28";"10.205.27"},E14))),"Platform-Runtime and Azure OPS",
IF(OR(ISNUMBER(SEARCH({"10.229.16";"10.229.17";"10.229.18";"10.229.19";"10.229.20";"10.229.21";"10.229.25";"10.229.26"},E14))),"SDDC",
IF(OR(ISNUMBER(SEARCH({"10.220";"10.221";"10.222";"10.223";"10.224";"10.225";"10.229";"185.130.242"},E14))),"SDDC",
IF(OR(ISNUMBER(SEARCH({"10.226";"10.227";"10.205"},E14))),"Azure OPS and SDDC",
IF(AND(NOT(ISNUMBER(SEARCH({"10.220";"10.221";"10.222";"10.223";"10.224";"10.225";"10.229";"10.226";"10.227";"10.205";"10.205.37";"10.205.38";"10.205.69";"10.205.31";"10.205.28";"10.205.27";"10.229.16";"10.229.17";"10.229.18";"10.229.19";"10.229.20";"10.229.21";"10.229.25";"10.229.26"},E14)))),"SCT SI - OCD",""))))))</f>
        <v>SCT SI - OCD</v>
      </c>
      <c r="V14" s="127" t="str" cm="1">
        <f t="array" ref="V14">IF(K14="","",IF(OR(ISNUMBER(SEARCH({"10.205.37";"10.205.38";"10.205.69";"10.205.31";"10.205.28";"10.205.27"},K14))),"Platform-Runtime and Azure OPS",
IF(OR(ISNUMBER(SEARCH({"10.229.16";"10.229.17";"10.229.18";"10.229.19";"10.229.20";"10.229.21";"10.229.25";"10.229.26"},K14))),"SDDC",
IF(OR(ISNUMBER(SEARCH({"10.220";"10.221";"10.222";"10.223";"10.224";"10.225";"10.229";"185.130.242"},K14))),"SDDC",
IF(OR(ISNUMBER(SEARCH({"10.226";"10.227";"10.205"},K14))),"Azure OPS and SDDC",
IF(AND(NOT(ISNUMBER(SEARCH({"10.220";"10.221";"10.222";"10.223";"10.224";"10.225";"10.229";"10.226";"10.227";"10.205";"10.205.37";"10.205.38";"10.205.69";"10.205.31";"10.205.28";"10.205.27";"10.229.16";"10.229.17";"10.229.18";"10.229.19";"10.229.20";"10.229.21";"10.229.25";"10.229.26"},K14)))),"SCT SI - OCD",""))))))</f>
        <v>SDDC</v>
      </c>
      <c r="W14" s="18"/>
    </row>
    <row r="15" spans="1:23" ht="86.4" x14ac:dyDescent="0.35">
      <c r="A15" s="18"/>
      <c r="B15" s="45">
        <v>2</v>
      </c>
      <c r="C15" s="170" t="s">
        <v>294</v>
      </c>
      <c r="D15" s="47">
        <v>864228</v>
      </c>
      <c r="E15" s="49" t="s">
        <v>285</v>
      </c>
      <c r="F15" s="36"/>
      <c r="G15" s="36"/>
      <c r="H15" s="36"/>
      <c r="I15" s="46"/>
      <c r="J15" s="170">
        <v>290139</v>
      </c>
      <c r="K15" s="49" t="s">
        <v>281</v>
      </c>
      <c r="L15" s="36" t="s">
        <v>302</v>
      </c>
      <c r="M15" s="36"/>
      <c r="N15" s="36"/>
      <c r="O15" s="36" t="s">
        <v>35</v>
      </c>
      <c r="P15" s="192" t="s">
        <v>297</v>
      </c>
      <c r="Q15" s="40" t="s">
        <v>116</v>
      </c>
      <c r="R15" s="41" t="s">
        <v>117</v>
      </c>
      <c r="S15" s="42"/>
      <c r="T15" s="50"/>
      <c r="U15" s="131" t="str" cm="1">
        <f t="array" ref="U15">IF(E15="","",IF(OR(ISNUMBER(SEARCH({"10.205.37";"10.205.38";"10.205.69";"10.205.31";"10.205.28";"10.205.27"},E15))),"Platform-Runtime and Azure OPS",
IF(OR(ISNUMBER(SEARCH({"10.229.16";"10.229.17";"10.229.18";"10.229.19";"10.229.20";"10.229.21";"10.229.25";"10.229.26"},E15))),"SDDC",
IF(OR(ISNUMBER(SEARCH({"10.220";"10.221";"10.222";"10.223";"10.224";"10.225";"10.229";"185.130.242"},E15))),"SDDC",
IF(OR(ISNUMBER(SEARCH({"10.226";"10.227";"10.205"},E15))),"Azure OPS and SDDC",
IF(AND(NOT(ISNUMBER(SEARCH({"10.220";"10.221";"10.222";"10.223";"10.224";"10.225";"10.229";"10.226";"10.227";"10.205";"10.205.37";"10.205.38";"10.205.69";"10.205.31";"10.205.28";"10.205.27";"10.229.16";"10.229.17";"10.229.18";"10.229.19";"10.229.20";"10.229.21";"10.229.25";"10.229.26"},E15)))),"SCT SI - OCD",""))))))</f>
        <v>SCT SI - OCD</v>
      </c>
      <c r="V15" s="127" t="str" cm="1">
        <f t="array" ref="V15">IF(K15="","",IF(OR(ISNUMBER(SEARCH({"10.205.37";"10.205.38";"10.205.69";"10.205.31";"10.205.28";"10.205.27"},K15))),"Platform-Runtime and Azure OPS",
IF(OR(ISNUMBER(SEARCH({"10.229.16";"10.229.17";"10.229.18";"10.229.19";"10.229.20";"10.229.21";"10.229.25";"10.229.26"},K15))),"SDDC",
IF(OR(ISNUMBER(SEARCH({"10.220";"10.221";"10.222";"10.223";"10.224";"10.225";"10.229";"185.130.242"},K15))),"SDDC",
IF(OR(ISNUMBER(SEARCH({"10.226";"10.227";"10.205"},K15))),"Azure OPS and SDDC",
IF(AND(NOT(ISNUMBER(SEARCH({"10.220";"10.221";"10.222";"10.223";"10.224";"10.225";"10.229";"10.226";"10.227";"10.205";"10.205.37";"10.205.38";"10.205.69";"10.205.31";"10.205.28";"10.205.27";"10.229.16";"10.229.17";"10.229.18";"10.229.19";"10.229.20";"10.229.21";"10.229.25";"10.229.26"},K15)))),"SCT SI - OCD",""))))))</f>
        <v>SDDC</v>
      </c>
      <c r="W15" s="126"/>
    </row>
    <row r="16" spans="1:23" ht="86.4" x14ac:dyDescent="0.35">
      <c r="A16" s="18"/>
      <c r="B16" s="45">
        <v>3</v>
      </c>
      <c r="C16" s="170" t="s">
        <v>294</v>
      </c>
      <c r="D16" s="47">
        <v>864228</v>
      </c>
      <c r="E16" s="49" t="s">
        <v>286</v>
      </c>
      <c r="F16" s="46"/>
      <c r="G16" s="36"/>
      <c r="H16" s="46"/>
      <c r="I16" s="46"/>
      <c r="J16" s="170">
        <v>290139</v>
      </c>
      <c r="K16" s="49" t="s">
        <v>281</v>
      </c>
      <c r="L16" s="36" t="s">
        <v>302</v>
      </c>
      <c r="M16" s="36"/>
      <c r="N16" s="36"/>
      <c r="O16" s="36" t="s">
        <v>35</v>
      </c>
      <c r="P16" s="192" t="s">
        <v>297</v>
      </c>
      <c r="Q16" s="40" t="s">
        <v>116</v>
      </c>
      <c r="R16" s="41" t="s">
        <v>117</v>
      </c>
      <c r="S16" s="42"/>
      <c r="T16" s="50"/>
      <c r="U16" s="131" t="str" cm="1">
        <f t="array" ref="U16">IF(E16="","",IF(OR(ISNUMBER(SEARCH({"10.205.37";"10.205.38";"10.205.69";"10.205.31";"10.205.28";"10.205.27"},E16))),"Platform-Runtime and Azure OPS",
IF(OR(ISNUMBER(SEARCH({"10.229.16";"10.229.17";"10.229.18";"10.229.19";"10.229.20";"10.229.21";"10.229.25";"10.229.26"},E16))),"SDDC",
IF(OR(ISNUMBER(SEARCH({"10.220";"10.221";"10.222";"10.223";"10.224";"10.225";"10.229";"185.130.242"},E16))),"SDDC",
IF(OR(ISNUMBER(SEARCH({"10.226";"10.227";"10.205"},E16))),"Azure OPS and SDDC",
IF(AND(NOT(ISNUMBER(SEARCH({"10.220";"10.221";"10.222";"10.223";"10.224";"10.225";"10.229";"10.226";"10.227";"10.205";"10.205.37";"10.205.38";"10.205.69";"10.205.31";"10.205.28";"10.205.27";"10.229.16";"10.229.17";"10.229.18";"10.229.19";"10.229.20";"10.229.21";"10.229.25";"10.229.26"},E16)))),"SCT SI - OCD",""))))))</f>
        <v>SCT SI - OCD</v>
      </c>
      <c r="V16" s="127" t="str" cm="1">
        <f t="array" ref="V16">IF(K16="","",IF(OR(ISNUMBER(SEARCH({"10.205.37";"10.205.38";"10.205.69";"10.205.31";"10.205.28";"10.205.27"},K16))),"Platform-Runtime and Azure OPS",
IF(OR(ISNUMBER(SEARCH({"10.229.16";"10.229.17";"10.229.18";"10.229.19";"10.229.20";"10.229.21";"10.229.25";"10.229.26"},K16))),"SDDC",
IF(OR(ISNUMBER(SEARCH({"10.220";"10.221";"10.222";"10.223";"10.224";"10.225";"10.229";"185.130.242"},K16))),"SDDC",
IF(OR(ISNUMBER(SEARCH({"10.226";"10.227";"10.205"},K16))),"Azure OPS and SDDC",
IF(AND(NOT(ISNUMBER(SEARCH({"10.220";"10.221";"10.222";"10.223";"10.224";"10.225";"10.229";"10.226";"10.227";"10.205";"10.205.37";"10.205.38";"10.205.69";"10.205.31";"10.205.28";"10.205.27";"10.229.16";"10.229.17";"10.229.18";"10.229.19";"10.229.20";"10.229.21";"10.229.25";"10.229.26"},K16)))),"SCT SI - OCD",""))))))</f>
        <v>SDDC</v>
      </c>
      <c r="W16" s="126"/>
    </row>
    <row r="17" spans="1:23" ht="86.4" x14ac:dyDescent="0.35">
      <c r="A17" s="18"/>
      <c r="B17" s="45">
        <v>4</v>
      </c>
      <c r="C17" s="170" t="s">
        <v>294</v>
      </c>
      <c r="D17" s="47">
        <v>864228</v>
      </c>
      <c r="E17" s="49" t="s">
        <v>287</v>
      </c>
      <c r="F17" s="46"/>
      <c r="G17" s="36"/>
      <c r="H17" s="46"/>
      <c r="I17" s="46"/>
      <c r="J17" s="170">
        <v>290139</v>
      </c>
      <c r="K17" s="49" t="s">
        <v>281</v>
      </c>
      <c r="L17" s="36" t="s">
        <v>302</v>
      </c>
      <c r="M17" s="36"/>
      <c r="N17" s="36"/>
      <c r="O17" s="36" t="s">
        <v>35</v>
      </c>
      <c r="P17" s="192" t="s">
        <v>297</v>
      </c>
      <c r="Q17" s="40" t="s">
        <v>116</v>
      </c>
      <c r="R17" s="41" t="s">
        <v>117</v>
      </c>
      <c r="S17" s="42"/>
      <c r="T17" s="50"/>
      <c r="U17" s="131" t="str" cm="1">
        <f t="array" ref="U17">IF(E17="","",IF(OR(ISNUMBER(SEARCH({"10.205.37";"10.205.38";"10.205.69";"10.205.31";"10.205.28";"10.205.27"},E17))),"Platform-Runtime and Azure OPS",
IF(OR(ISNUMBER(SEARCH({"10.229.16";"10.229.17";"10.229.18";"10.229.19";"10.229.20";"10.229.21";"10.229.25";"10.229.26"},E17))),"SDDC",
IF(OR(ISNUMBER(SEARCH({"10.220";"10.221";"10.222";"10.223";"10.224";"10.225";"10.229";"185.130.242"},E17))),"SDDC",
IF(OR(ISNUMBER(SEARCH({"10.226";"10.227";"10.205"},E17))),"Azure OPS and SDDC",
IF(AND(NOT(ISNUMBER(SEARCH({"10.220";"10.221";"10.222";"10.223";"10.224";"10.225";"10.229";"10.226";"10.227";"10.205";"10.205.37";"10.205.38";"10.205.69";"10.205.31";"10.205.28";"10.205.27";"10.229.16";"10.229.17";"10.229.18";"10.229.19";"10.229.20";"10.229.21";"10.229.25";"10.229.26"},E17)))),"SCT SI - OCD",""))))))</f>
        <v>SCT SI - OCD</v>
      </c>
      <c r="V17" s="127" t="str" cm="1">
        <f t="array" ref="V17">IF(K17="","",IF(OR(ISNUMBER(SEARCH({"10.205.37";"10.205.38";"10.205.69";"10.205.31";"10.205.28";"10.205.27"},K17))),"Platform-Runtime and Azure OPS",
IF(OR(ISNUMBER(SEARCH({"10.229.16";"10.229.17";"10.229.18";"10.229.19";"10.229.20";"10.229.21";"10.229.25";"10.229.26"},K17))),"SDDC",
IF(OR(ISNUMBER(SEARCH({"10.220";"10.221";"10.222";"10.223";"10.224";"10.225";"10.229";"185.130.242"},K17))),"SDDC",
IF(OR(ISNUMBER(SEARCH({"10.226";"10.227";"10.205"},K17))),"Azure OPS and SDDC",
IF(AND(NOT(ISNUMBER(SEARCH({"10.220";"10.221";"10.222";"10.223";"10.224";"10.225";"10.229";"10.226";"10.227";"10.205";"10.205.37";"10.205.38";"10.205.69";"10.205.31";"10.205.28";"10.205.27";"10.229.16";"10.229.17";"10.229.18";"10.229.19";"10.229.20";"10.229.21";"10.229.25";"10.229.26"},K17)))),"SCT SI - OCD",""))))))</f>
        <v>SDDC</v>
      </c>
      <c r="W17" s="126"/>
    </row>
    <row r="18" spans="1:23" ht="86.4" x14ac:dyDescent="0.35">
      <c r="A18" s="18"/>
      <c r="B18" s="45">
        <v>5</v>
      </c>
      <c r="C18" s="170" t="s">
        <v>294</v>
      </c>
      <c r="D18" s="47">
        <v>864228</v>
      </c>
      <c r="E18" s="49" t="s">
        <v>288</v>
      </c>
      <c r="F18" s="46"/>
      <c r="G18" s="36"/>
      <c r="H18" s="46"/>
      <c r="I18" s="46"/>
      <c r="J18" s="170">
        <v>290139</v>
      </c>
      <c r="K18" s="49" t="s">
        <v>281</v>
      </c>
      <c r="L18" s="36" t="s">
        <v>302</v>
      </c>
      <c r="M18" s="36"/>
      <c r="N18" s="36"/>
      <c r="O18" s="36" t="s">
        <v>35</v>
      </c>
      <c r="P18" s="192" t="s">
        <v>297</v>
      </c>
      <c r="Q18" s="40" t="s">
        <v>116</v>
      </c>
      <c r="R18" s="41" t="s">
        <v>117</v>
      </c>
      <c r="S18" s="42"/>
      <c r="T18" s="50"/>
      <c r="U18" s="131" t="str" cm="1">
        <f t="array" ref="U18">IF(E18="","",IF(OR(ISNUMBER(SEARCH({"10.205.37";"10.205.38";"10.205.69";"10.205.31";"10.205.28";"10.205.27"},E18))),"Platform-Runtime and Azure OPS",
IF(OR(ISNUMBER(SEARCH({"10.229.16";"10.229.17";"10.229.18";"10.229.19";"10.229.20";"10.229.21";"10.229.25";"10.229.26"},E18))),"SDDC",
IF(OR(ISNUMBER(SEARCH({"10.220";"10.221";"10.222";"10.223";"10.224";"10.225";"10.229";"185.130.242"},E18))),"SDDC",
IF(OR(ISNUMBER(SEARCH({"10.226";"10.227";"10.205"},E18))),"Azure OPS and SDDC",
IF(AND(NOT(ISNUMBER(SEARCH({"10.220";"10.221";"10.222";"10.223";"10.224";"10.225";"10.229";"10.226";"10.227";"10.205";"10.205.37";"10.205.38";"10.205.69";"10.205.31";"10.205.28";"10.205.27";"10.229.16";"10.229.17";"10.229.18";"10.229.19";"10.229.20";"10.229.21";"10.229.25";"10.229.26"},E18)))),"SCT SI - OCD",""))))))</f>
        <v>SCT SI - OCD</v>
      </c>
      <c r="V18" s="127" t="str" cm="1">
        <f t="array" ref="V18">IF(K18="","",IF(OR(ISNUMBER(SEARCH({"10.205.37";"10.205.38";"10.205.69";"10.205.31";"10.205.28";"10.205.27"},K18))),"Platform-Runtime and Azure OPS",
IF(OR(ISNUMBER(SEARCH({"10.229.16";"10.229.17";"10.229.18";"10.229.19";"10.229.20";"10.229.21";"10.229.25";"10.229.26"},K18))),"SDDC",
IF(OR(ISNUMBER(SEARCH({"10.220";"10.221";"10.222";"10.223";"10.224";"10.225";"10.229";"185.130.242"},K18))),"SDDC",
IF(OR(ISNUMBER(SEARCH({"10.226";"10.227";"10.205"},K18))),"Azure OPS and SDDC",
IF(AND(NOT(ISNUMBER(SEARCH({"10.220";"10.221";"10.222";"10.223";"10.224";"10.225";"10.229";"10.226";"10.227";"10.205";"10.205.37";"10.205.38";"10.205.69";"10.205.31";"10.205.28";"10.205.27";"10.229.16";"10.229.17";"10.229.18";"10.229.19";"10.229.20";"10.229.21";"10.229.25";"10.229.26"},K18)))),"SCT SI - OCD",""))))))</f>
        <v>SDDC</v>
      </c>
      <c r="W18" s="18"/>
    </row>
    <row r="19" spans="1:23" ht="86.4" x14ac:dyDescent="0.35">
      <c r="A19" s="18"/>
      <c r="B19" s="45">
        <v>6</v>
      </c>
      <c r="C19" s="170" t="s">
        <v>294</v>
      </c>
      <c r="D19" s="47">
        <v>864228</v>
      </c>
      <c r="E19" s="49" t="s">
        <v>289</v>
      </c>
      <c r="F19" s="46"/>
      <c r="G19" s="36"/>
      <c r="H19" s="46"/>
      <c r="I19" s="46"/>
      <c r="J19" s="170">
        <v>290139</v>
      </c>
      <c r="K19" s="49" t="s">
        <v>281</v>
      </c>
      <c r="L19" s="36" t="s">
        <v>302</v>
      </c>
      <c r="M19" s="36"/>
      <c r="N19" s="36"/>
      <c r="O19" s="36" t="s">
        <v>35</v>
      </c>
      <c r="P19" s="192" t="s">
        <v>297</v>
      </c>
      <c r="Q19" s="40" t="s">
        <v>116</v>
      </c>
      <c r="R19" s="41" t="s">
        <v>117</v>
      </c>
      <c r="S19" s="42"/>
      <c r="T19" s="50"/>
      <c r="U19" s="131" t="str" cm="1">
        <f t="array" ref="U19">IF(E19="","",IF(OR(ISNUMBER(SEARCH({"10.205.37";"10.205.38";"10.205.69";"10.205.31";"10.205.28";"10.205.27"},E19))),"Platform-Runtime and Azure OPS",
IF(OR(ISNUMBER(SEARCH({"10.229.16";"10.229.17";"10.229.18";"10.229.19";"10.229.20";"10.229.21";"10.229.25";"10.229.26"},E19))),"SDDC",
IF(OR(ISNUMBER(SEARCH({"10.220";"10.221";"10.222";"10.223";"10.224";"10.225";"10.229";"185.130.242"},E19))),"SDDC",
IF(OR(ISNUMBER(SEARCH({"10.226";"10.227";"10.205"},E19))),"Azure OPS and SDDC",
IF(AND(NOT(ISNUMBER(SEARCH({"10.220";"10.221";"10.222";"10.223";"10.224";"10.225";"10.229";"10.226";"10.227";"10.205";"10.205.37";"10.205.38";"10.205.69";"10.205.31";"10.205.28";"10.205.27";"10.229.16";"10.229.17";"10.229.18";"10.229.19";"10.229.20";"10.229.21";"10.229.25";"10.229.26"},E19)))),"SCT SI - OCD",""))))))</f>
        <v>SCT SI - OCD</v>
      </c>
      <c r="V19" s="127" t="str" cm="1">
        <f t="array" ref="V19">IF(K19="","",IF(OR(ISNUMBER(SEARCH({"10.205.37";"10.205.38";"10.205.69";"10.205.31";"10.205.28";"10.205.27"},K19))),"Platform-Runtime and Azure OPS",
IF(OR(ISNUMBER(SEARCH({"10.229.16";"10.229.17";"10.229.18";"10.229.19";"10.229.20";"10.229.21";"10.229.25";"10.229.26"},K19))),"SDDC",
IF(OR(ISNUMBER(SEARCH({"10.220";"10.221";"10.222";"10.223";"10.224";"10.225";"10.229";"185.130.242"},K19))),"SDDC",
IF(OR(ISNUMBER(SEARCH({"10.226";"10.227";"10.205"},K19))),"Azure OPS and SDDC",
IF(AND(NOT(ISNUMBER(SEARCH({"10.220";"10.221";"10.222";"10.223";"10.224";"10.225";"10.229";"10.226";"10.227";"10.205";"10.205.37";"10.205.38";"10.205.69";"10.205.31";"10.205.28";"10.205.27";"10.229.16";"10.229.17";"10.229.18";"10.229.19";"10.229.20";"10.229.21";"10.229.25";"10.229.26"},K19)))),"SCT SI - OCD",""))))))</f>
        <v>SDDC</v>
      </c>
      <c r="W19" s="126"/>
    </row>
    <row r="20" spans="1:23" ht="86.4" x14ac:dyDescent="0.35">
      <c r="A20" s="18"/>
      <c r="B20" s="45">
        <v>7</v>
      </c>
      <c r="C20" s="170" t="s">
        <v>294</v>
      </c>
      <c r="D20" s="47">
        <v>864228</v>
      </c>
      <c r="E20" s="48" t="s">
        <v>290</v>
      </c>
      <c r="F20" s="46"/>
      <c r="G20" s="36"/>
      <c r="H20" s="46"/>
      <c r="I20" s="46"/>
      <c r="J20" s="170">
        <v>290139</v>
      </c>
      <c r="K20" s="49" t="s">
        <v>281</v>
      </c>
      <c r="L20" s="36" t="s">
        <v>302</v>
      </c>
      <c r="M20" s="36"/>
      <c r="N20" s="36"/>
      <c r="O20" s="36" t="s">
        <v>35</v>
      </c>
      <c r="P20" s="192" t="s">
        <v>297</v>
      </c>
      <c r="Q20" s="40" t="s">
        <v>116</v>
      </c>
      <c r="R20" s="41" t="s">
        <v>117</v>
      </c>
      <c r="S20" s="42"/>
      <c r="T20" s="50"/>
      <c r="U20" s="131" t="str" cm="1">
        <f t="array" ref="U20">IF(E20="","",IF(OR(ISNUMBER(SEARCH({"10.205.37";"10.205.38";"10.205.69";"10.205.31";"10.205.28";"10.205.27"},E20))),"Platform-Runtime and Azure OPS",
IF(OR(ISNUMBER(SEARCH({"10.229.16";"10.229.17";"10.229.18";"10.229.19";"10.229.20";"10.229.21";"10.229.25";"10.229.26"},E20))),"SDDC",
IF(OR(ISNUMBER(SEARCH({"10.220";"10.221";"10.222";"10.223";"10.224";"10.225";"10.229";"185.130.242"},E20))),"SDDC",
IF(OR(ISNUMBER(SEARCH({"10.226";"10.227";"10.205"},E20))),"Azure OPS and SDDC",
IF(AND(NOT(ISNUMBER(SEARCH({"10.220";"10.221";"10.222";"10.223";"10.224";"10.225";"10.229";"10.226";"10.227";"10.205";"10.205.37";"10.205.38";"10.205.69";"10.205.31";"10.205.28";"10.205.27";"10.229.16";"10.229.17";"10.229.18";"10.229.19";"10.229.20";"10.229.21";"10.229.25";"10.229.26"},E20)))),"SCT SI - OCD",""))))))</f>
        <v>SCT SI - OCD</v>
      </c>
      <c r="V20" s="127" t="str" cm="1">
        <f t="array" ref="V20">IF(K20="","",IF(OR(ISNUMBER(SEARCH({"10.205.37";"10.205.38";"10.205.69";"10.205.31";"10.205.28";"10.205.27"},K20))),"Platform-Runtime and Azure OPS",
IF(OR(ISNUMBER(SEARCH({"10.229.16";"10.229.17";"10.229.18";"10.229.19";"10.229.20";"10.229.21";"10.229.25";"10.229.26"},K20))),"SDDC",
IF(OR(ISNUMBER(SEARCH({"10.220";"10.221";"10.222";"10.223";"10.224";"10.225";"10.229";"185.130.242"},K20))),"SDDC",
IF(OR(ISNUMBER(SEARCH({"10.226";"10.227";"10.205"},K20))),"Azure OPS and SDDC",
IF(AND(NOT(ISNUMBER(SEARCH({"10.220";"10.221";"10.222";"10.223";"10.224";"10.225";"10.229";"10.226";"10.227";"10.205";"10.205.37";"10.205.38";"10.205.69";"10.205.31";"10.205.28";"10.205.27";"10.229.16";"10.229.17";"10.229.18";"10.229.19";"10.229.20";"10.229.21";"10.229.25";"10.229.26"},K20)))),"SCT SI - OCD",""))))))</f>
        <v>SDDC</v>
      </c>
      <c r="W20" s="18"/>
    </row>
    <row r="21" spans="1:23" ht="86.4" x14ac:dyDescent="0.35">
      <c r="A21" s="18"/>
      <c r="B21" s="45">
        <v>8</v>
      </c>
      <c r="C21" s="170" t="s">
        <v>294</v>
      </c>
      <c r="D21" s="47">
        <v>864228</v>
      </c>
      <c r="E21" s="48" t="s">
        <v>291</v>
      </c>
      <c r="F21" s="46"/>
      <c r="G21" s="36"/>
      <c r="H21" s="46"/>
      <c r="I21" s="46"/>
      <c r="J21" s="170">
        <v>290139</v>
      </c>
      <c r="K21" s="49" t="s">
        <v>281</v>
      </c>
      <c r="L21" s="36" t="s">
        <v>302</v>
      </c>
      <c r="M21" s="36"/>
      <c r="N21" s="36"/>
      <c r="O21" s="36" t="s">
        <v>35</v>
      </c>
      <c r="P21" s="192" t="s">
        <v>297</v>
      </c>
      <c r="Q21" s="40" t="s">
        <v>116</v>
      </c>
      <c r="R21" s="41" t="s">
        <v>117</v>
      </c>
      <c r="S21" s="42"/>
      <c r="T21" s="50"/>
      <c r="U21" s="131" t="str" cm="1">
        <f t="array" ref="U21">IF(E21="","",IF(OR(ISNUMBER(SEARCH({"10.205.37";"10.205.38";"10.205.69";"10.205.31";"10.205.28";"10.205.27"},E21))),"Platform-Runtime and Azure OPS",
IF(OR(ISNUMBER(SEARCH({"10.229.16";"10.229.17";"10.229.18";"10.229.19";"10.229.20";"10.229.21";"10.229.25";"10.229.26"},E21))),"SDDC",
IF(OR(ISNUMBER(SEARCH({"10.220";"10.221";"10.222";"10.223";"10.224";"10.225";"10.229";"185.130.242"},E21))),"SDDC",
IF(OR(ISNUMBER(SEARCH({"10.226";"10.227";"10.205"},E21))),"Azure OPS and SDDC",
IF(AND(NOT(ISNUMBER(SEARCH({"10.220";"10.221";"10.222";"10.223";"10.224";"10.225";"10.229";"10.226";"10.227";"10.205";"10.205.37";"10.205.38";"10.205.69";"10.205.31";"10.205.28";"10.205.27";"10.229.16";"10.229.17";"10.229.18";"10.229.19";"10.229.20";"10.229.21";"10.229.25";"10.229.26"},E21)))),"SCT SI - OCD",""))))))</f>
        <v>SCT SI - OCD</v>
      </c>
      <c r="V21" s="127" t="str" cm="1">
        <f t="array" ref="V21">IF(K21="","",IF(OR(ISNUMBER(SEARCH({"10.205.37";"10.205.38";"10.205.69";"10.205.31";"10.205.28";"10.205.27"},K21))),"Platform-Runtime and Azure OPS",
IF(OR(ISNUMBER(SEARCH({"10.229.16";"10.229.17";"10.229.18";"10.229.19";"10.229.20";"10.229.21";"10.229.25";"10.229.26"},K21))),"SDDC",
IF(OR(ISNUMBER(SEARCH({"10.220";"10.221";"10.222";"10.223";"10.224";"10.225";"10.229";"185.130.242"},K21))),"SDDC",
IF(OR(ISNUMBER(SEARCH({"10.226";"10.227";"10.205"},K21))),"Azure OPS and SDDC",
IF(AND(NOT(ISNUMBER(SEARCH({"10.220";"10.221";"10.222";"10.223";"10.224";"10.225";"10.229";"10.226";"10.227";"10.205";"10.205.37";"10.205.38";"10.205.69";"10.205.31";"10.205.28";"10.205.27";"10.229.16";"10.229.17";"10.229.18";"10.229.19";"10.229.20";"10.229.21";"10.229.25";"10.229.26"},K21)))),"SCT SI - OCD",""))))))</f>
        <v>SDDC</v>
      </c>
      <c r="W21" s="126"/>
    </row>
    <row r="22" spans="1:23" ht="86.4" x14ac:dyDescent="0.35">
      <c r="A22" s="18"/>
      <c r="B22" s="45">
        <v>9</v>
      </c>
      <c r="C22" s="170" t="s">
        <v>294</v>
      </c>
      <c r="D22" s="47">
        <v>864228</v>
      </c>
      <c r="E22" s="48" t="s">
        <v>292</v>
      </c>
      <c r="F22" s="46"/>
      <c r="G22" s="36"/>
      <c r="H22" s="46"/>
      <c r="I22" s="46"/>
      <c r="J22" s="170">
        <v>290139</v>
      </c>
      <c r="K22" s="49" t="s">
        <v>281</v>
      </c>
      <c r="L22" s="36" t="s">
        <v>302</v>
      </c>
      <c r="M22" s="36"/>
      <c r="N22" s="36"/>
      <c r="O22" s="36" t="s">
        <v>35</v>
      </c>
      <c r="P22" s="192" t="s">
        <v>297</v>
      </c>
      <c r="Q22" s="40" t="s">
        <v>116</v>
      </c>
      <c r="R22" s="41" t="s">
        <v>117</v>
      </c>
      <c r="S22" s="42"/>
      <c r="T22" s="50"/>
      <c r="U22" s="131" t="str" cm="1">
        <f t="array" ref="U22">IF(E22="","",IF(OR(ISNUMBER(SEARCH({"10.205.37";"10.205.38";"10.205.69";"10.205.31";"10.205.28";"10.205.27"},E22))),"Platform-Runtime and Azure OPS",
IF(OR(ISNUMBER(SEARCH({"10.229.16";"10.229.17";"10.229.18";"10.229.19";"10.229.20";"10.229.21";"10.229.25";"10.229.26"},E22))),"SDDC",
IF(OR(ISNUMBER(SEARCH({"10.220";"10.221";"10.222";"10.223";"10.224";"10.225";"10.229";"185.130.242"},E22))),"SDDC",
IF(OR(ISNUMBER(SEARCH({"10.226";"10.227";"10.205"},E22))),"Azure OPS and SDDC",
IF(AND(NOT(ISNUMBER(SEARCH({"10.220";"10.221";"10.222";"10.223";"10.224";"10.225";"10.229";"10.226";"10.227";"10.205";"10.205.37";"10.205.38";"10.205.69";"10.205.31";"10.205.28";"10.205.27";"10.229.16";"10.229.17";"10.229.18";"10.229.19";"10.229.20";"10.229.21";"10.229.25";"10.229.26"},E22)))),"SCT SI - OCD",""))))))</f>
        <v>SCT SI - OCD</v>
      </c>
      <c r="V22" s="127" t="str" cm="1">
        <f t="array" ref="V22">IF(K22="","",IF(OR(ISNUMBER(SEARCH({"10.205.37";"10.205.38";"10.205.69";"10.205.31";"10.205.28";"10.205.27"},K22))),"Platform-Runtime and Azure OPS",
IF(OR(ISNUMBER(SEARCH({"10.229.16";"10.229.17";"10.229.18";"10.229.19";"10.229.20";"10.229.21";"10.229.25";"10.229.26"},K22))),"SDDC",
IF(OR(ISNUMBER(SEARCH({"10.220";"10.221";"10.222";"10.223";"10.224";"10.225";"10.229";"185.130.242"},K22))),"SDDC",
IF(OR(ISNUMBER(SEARCH({"10.226";"10.227";"10.205"},K22))),"Azure OPS and SDDC",
IF(AND(NOT(ISNUMBER(SEARCH({"10.220";"10.221";"10.222";"10.223";"10.224";"10.225";"10.229";"10.226";"10.227";"10.205";"10.205.37";"10.205.38";"10.205.69";"10.205.31";"10.205.28";"10.205.27";"10.229.16";"10.229.17";"10.229.18";"10.229.19";"10.229.20";"10.229.21";"10.229.25";"10.229.26"},K22)))),"SCT SI - OCD",""))))))</f>
        <v>SDDC</v>
      </c>
      <c r="W22" s="126"/>
    </row>
    <row r="23" spans="1:23" ht="86.4" x14ac:dyDescent="0.35">
      <c r="A23" s="18"/>
      <c r="B23" s="45">
        <v>10</v>
      </c>
      <c r="C23" s="170" t="s">
        <v>294</v>
      </c>
      <c r="D23" s="47">
        <v>864228</v>
      </c>
      <c r="E23" s="48" t="s">
        <v>293</v>
      </c>
      <c r="F23" s="46"/>
      <c r="G23" s="36"/>
      <c r="H23" s="46"/>
      <c r="I23" s="46"/>
      <c r="J23" s="170">
        <v>290139</v>
      </c>
      <c r="K23" s="49" t="s">
        <v>281</v>
      </c>
      <c r="L23" s="36" t="s">
        <v>302</v>
      </c>
      <c r="M23" s="36"/>
      <c r="N23" s="36"/>
      <c r="O23" s="36" t="s">
        <v>35</v>
      </c>
      <c r="P23" s="192" t="s">
        <v>297</v>
      </c>
      <c r="Q23" s="40" t="s">
        <v>116</v>
      </c>
      <c r="R23" s="41" t="s">
        <v>117</v>
      </c>
      <c r="S23" s="42"/>
      <c r="T23" s="50"/>
      <c r="U23" s="131" t="str" cm="1">
        <f t="array" ref="U23">IF(E23="","",IF(OR(ISNUMBER(SEARCH({"10.205.37";"10.205.38";"10.205.69";"10.205.31";"10.205.28";"10.205.27"},E23))),"Platform-Runtime and Azure OPS",
IF(OR(ISNUMBER(SEARCH({"10.229.16";"10.229.17";"10.229.18";"10.229.19";"10.229.20";"10.229.21";"10.229.25";"10.229.26"},E23))),"SDDC",
IF(OR(ISNUMBER(SEARCH({"10.220";"10.221";"10.222";"10.223";"10.224";"10.225";"10.229";"185.130.242"},E23))),"SDDC",
IF(OR(ISNUMBER(SEARCH({"10.226";"10.227";"10.205"},E23))),"Azure OPS and SDDC",
IF(AND(NOT(ISNUMBER(SEARCH({"10.220";"10.221";"10.222";"10.223";"10.224";"10.225";"10.229";"10.226";"10.227";"10.205";"10.205.37";"10.205.38";"10.205.69";"10.205.31";"10.205.28";"10.205.27";"10.229.16";"10.229.17";"10.229.18";"10.229.19";"10.229.20";"10.229.21";"10.229.25";"10.229.26"},E23)))),"SCT SI - OCD",""))))))</f>
        <v>SCT SI - OCD</v>
      </c>
      <c r="V23" s="127" t="str" cm="1">
        <f t="array" ref="V23">IF(K23="","",IF(OR(ISNUMBER(SEARCH({"10.205.37";"10.205.38";"10.205.69";"10.205.31";"10.205.28";"10.205.27"},K23))),"Platform-Runtime and Azure OPS",
IF(OR(ISNUMBER(SEARCH({"10.229.16";"10.229.17";"10.229.18";"10.229.19";"10.229.20";"10.229.21";"10.229.25";"10.229.26"},K23))),"SDDC",
IF(OR(ISNUMBER(SEARCH({"10.220";"10.221";"10.222";"10.223";"10.224";"10.225";"10.229";"185.130.242"},K23))),"SDDC",
IF(OR(ISNUMBER(SEARCH({"10.226";"10.227";"10.205"},K23))),"Azure OPS and SDDC",
IF(AND(NOT(ISNUMBER(SEARCH({"10.220";"10.221";"10.222";"10.223";"10.224";"10.225";"10.229";"10.226";"10.227";"10.205";"10.205.37";"10.205.38";"10.205.69";"10.205.31";"10.205.28";"10.205.27";"10.229.16";"10.229.17";"10.229.18";"10.229.19";"10.229.20";"10.229.21";"10.229.25";"10.229.26"},K23)))),"SCT SI - OCD",""))))))</f>
        <v>SDDC</v>
      </c>
      <c r="W23" s="18"/>
    </row>
    <row r="24" spans="1:23" x14ac:dyDescent="0.35">
      <c r="A24" s="18"/>
      <c r="B24" s="45">
        <v>11</v>
      </c>
      <c r="C24" s="170" t="s">
        <v>295</v>
      </c>
      <c r="D24" s="47">
        <v>864228</v>
      </c>
      <c r="E24" s="48" t="s">
        <v>284</v>
      </c>
      <c r="F24" s="36"/>
      <c r="G24" s="36"/>
      <c r="H24" s="46"/>
      <c r="I24" s="46"/>
      <c r="J24" s="170">
        <v>290139</v>
      </c>
      <c r="K24" s="49" t="s">
        <v>281</v>
      </c>
      <c r="L24" s="51" t="s">
        <v>302</v>
      </c>
      <c r="M24" s="36"/>
      <c r="N24" s="36" t="s">
        <v>202</v>
      </c>
      <c r="O24" s="36" t="s">
        <v>217</v>
      </c>
      <c r="P24" s="192"/>
      <c r="Q24" s="40" t="s">
        <v>116</v>
      </c>
      <c r="R24" s="41" t="s">
        <v>117</v>
      </c>
      <c r="S24" s="42"/>
      <c r="T24" s="50"/>
      <c r="U24" s="131" t="str" cm="1">
        <f t="array" ref="U24">IF(E24="","",IF(OR(ISNUMBER(SEARCH({"10.205.37";"10.205.38";"10.205.69";"10.205.31";"10.205.28";"10.205.27"},E24))),"Platform-Runtime and Azure OPS",
IF(OR(ISNUMBER(SEARCH({"10.229.16";"10.229.17";"10.229.18";"10.229.19";"10.229.20";"10.229.21";"10.229.25";"10.229.26"},E24))),"SDDC",
IF(OR(ISNUMBER(SEARCH({"10.220";"10.221";"10.222";"10.223";"10.224";"10.225";"10.229";"185.130.242"},E24))),"SDDC",
IF(OR(ISNUMBER(SEARCH({"10.226";"10.227";"10.205"},E24))),"Azure OPS and SDDC",
IF(AND(NOT(ISNUMBER(SEARCH({"10.220";"10.221";"10.222";"10.223";"10.224";"10.225";"10.229";"10.226";"10.227";"10.205";"10.205.37";"10.205.38";"10.205.69";"10.205.31";"10.205.28";"10.205.27";"10.229.16";"10.229.17";"10.229.18";"10.229.19";"10.229.20";"10.229.21";"10.229.25";"10.229.26"},E24)))),"SCT SI - OCD",""))))))</f>
        <v>SCT SI - OCD</v>
      </c>
      <c r="V24" s="127" t="str" cm="1">
        <f t="array" ref="V24">IF(K24="","",IF(OR(ISNUMBER(SEARCH({"10.205.37";"10.205.38";"10.205.69";"10.205.31";"10.205.28";"10.205.27"},K24))),"Platform-Runtime and Azure OPS",
IF(OR(ISNUMBER(SEARCH({"10.229.16";"10.229.17";"10.229.18";"10.229.19";"10.229.20";"10.229.21";"10.229.25";"10.229.26"},K24))),"SDDC",
IF(OR(ISNUMBER(SEARCH({"10.220";"10.221";"10.222";"10.223";"10.224";"10.225";"10.229";"185.130.242"},K24))),"SDDC",
IF(OR(ISNUMBER(SEARCH({"10.226";"10.227";"10.205"},K24))),"Azure OPS and SDDC",
IF(AND(NOT(ISNUMBER(SEARCH({"10.220";"10.221";"10.222";"10.223";"10.224";"10.225";"10.229";"10.226";"10.227";"10.205";"10.205.37";"10.205.38";"10.205.69";"10.205.31";"10.205.28";"10.205.27";"10.229.16";"10.229.17";"10.229.18";"10.229.19";"10.229.20";"10.229.21";"10.229.25";"10.229.26"},K24)))),"SCT SI - OCD",""))))))</f>
        <v>SDDC</v>
      </c>
      <c r="W24" s="18"/>
    </row>
    <row r="25" spans="1:23" x14ac:dyDescent="0.35">
      <c r="A25" s="18"/>
      <c r="B25" s="45">
        <v>12</v>
      </c>
      <c r="C25" s="170" t="s">
        <v>295</v>
      </c>
      <c r="D25" s="47">
        <v>864228</v>
      </c>
      <c r="E25" s="48" t="s">
        <v>285</v>
      </c>
      <c r="F25" s="46"/>
      <c r="G25" s="36"/>
      <c r="H25" s="46"/>
      <c r="I25" s="46"/>
      <c r="J25" s="170">
        <v>290139</v>
      </c>
      <c r="K25" s="49" t="s">
        <v>281</v>
      </c>
      <c r="L25" s="36" t="s">
        <v>302</v>
      </c>
      <c r="M25" s="36"/>
      <c r="N25" s="36" t="s">
        <v>202</v>
      </c>
      <c r="O25" s="36" t="s">
        <v>217</v>
      </c>
      <c r="P25" s="159"/>
      <c r="Q25" s="40" t="s">
        <v>116</v>
      </c>
      <c r="R25" s="41" t="s">
        <v>117</v>
      </c>
      <c r="S25" s="42"/>
      <c r="T25" s="50"/>
      <c r="U25" s="131" t="str" cm="1">
        <f t="array" ref="U25">IF(E25="","",IF(OR(ISNUMBER(SEARCH({"10.205.37";"10.205.38";"10.205.69";"10.205.31";"10.205.28";"10.205.27"},E25))),"Platform-Runtime and Azure OPS",
IF(OR(ISNUMBER(SEARCH({"10.229.16";"10.229.17";"10.229.18";"10.229.19";"10.229.20";"10.229.21";"10.229.25";"10.229.26"},E25))),"SDDC",
IF(OR(ISNUMBER(SEARCH({"10.220";"10.221";"10.222";"10.223";"10.224";"10.225";"10.229";"185.130.242"},E25))),"SDDC",
IF(OR(ISNUMBER(SEARCH({"10.226";"10.227";"10.205"},E25))),"Azure OPS and SDDC",
IF(AND(NOT(ISNUMBER(SEARCH({"10.220";"10.221";"10.222";"10.223";"10.224";"10.225";"10.229";"10.226";"10.227";"10.205";"10.205.37";"10.205.38";"10.205.69";"10.205.31";"10.205.28";"10.205.27";"10.229.16";"10.229.17";"10.229.18";"10.229.19";"10.229.20";"10.229.21";"10.229.25";"10.229.26"},E25)))),"SCT SI - OCD",""))))))</f>
        <v>SCT SI - OCD</v>
      </c>
      <c r="V25" s="127" t="str" cm="1">
        <f t="array" ref="V25">IF(K25="","",IF(OR(ISNUMBER(SEARCH({"10.205.37";"10.205.38";"10.205.69";"10.205.31";"10.205.28";"10.205.27"},K25))),"Platform-Runtime and Azure OPS",
IF(OR(ISNUMBER(SEARCH({"10.229.16";"10.229.17";"10.229.18";"10.229.19";"10.229.20";"10.229.21";"10.229.25";"10.229.26"},K25))),"SDDC",
IF(OR(ISNUMBER(SEARCH({"10.220";"10.221";"10.222";"10.223";"10.224";"10.225";"10.229";"185.130.242"},K25))),"SDDC",
IF(OR(ISNUMBER(SEARCH({"10.226";"10.227";"10.205"},K25))),"Azure OPS and SDDC",
IF(AND(NOT(ISNUMBER(SEARCH({"10.220";"10.221";"10.222";"10.223";"10.224";"10.225";"10.229";"10.226";"10.227";"10.205";"10.205.37";"10.205.38";"10.205.69";"10.205.31";"10.205.28";"10.205.27";"10.229.16";"10.229.17";"10.229.18";"10.229.19";"10.229.20";"10.229.21";"10.229.25";"10.229.26"},K25)))),"SCT SI - OCD",""))))))</f>
        <v>SDDC</v>
      </c>
      <c r="W25" s="126"/>
    </row>
    <row r="26" spans="1:23" x14ac:dyDescent="0.35">
      <c r="A26" s="18"/>
      <c r="B26" s="45">
        <v>13</v>
      </c>
      <c r="C26" s="170" t="s">
        <v>295</v>
      </c>
      <c r="D26" s="47">
        <v>864228</v>
      </c>
      <c r="E26" s="48" t="s">
        <v>286</v>
      </c>
      <c r="F26" s="46"/>
      <c r="G26" s="36"/>
      <c r="H26" s="46"/>
      <c r="I26" s="46"/>
      <c r="J26" s="170">
        <v>290139</v>
      </c>
      <c r="K26" s="49" t="s">
        <v>281</v>
      </c>
      <c r="L26" s="36" t="s">
        <v>302</v>
      </c>
      <c r="M26" s="36"/>
      <c r="N26" s="36" t="s">
        <v>202</v>
      </c>
      <c r="O26" s="36" t="s">
        <v>217</v>
      </c>
      <c r="P26" s="159"/>
      <c r="Q26" s="40" t="s">
        <v>116</v>
      </c>
      <c r="R26" s="41" t="s">
        <v>117</v>
      </c>
      <c r="S26" s="42"/>
      <c r="T26" s="50"/>
      <c r="U26" s="131" t="str" cm="1">
        <f t="array" ref="U26">IF(E26="","",IF(OR(ISNUMBER(SEARCH({"10.205.37";"10.205.38";"10.205.69";"10.205.31";"10.205.28";"10.205.27"},E26))),"Platform-Runtime and Azure OPS",
IF(OR(ISNUMBER(SEARCH({"10.229.16";"10.229.17";"10.229.18";"10.229.19";"10.229.20";"10.229.21";"10.229.25";"10.229.26"},E26))),"SDDC",
IF(OR(ISNUMBER(SEARCH({"10.220";"10.221";"10.222";"10.223";"10.224";"10.225";"10.229";"185.130.242"},E26))),"SDDC",
IF(OR(ISNUMBER(SEARCH({"10.226";"10.227";"10.205"},E26))),"Azure OPS and SDDC",
IF(AND(NOT(ISNUMBER(SEARCH({"10.220";"10.221";"10.222";"10.223";"10.224";"10.225";"10.229";"10.226";"10.227";"10.205";"10.205.37";"10.205.38";"10.205.69";"10.205.31";"10.205.28";"10.205.27";"10.229.16";"10.229.17";"10.229.18";"10.229.19";"10.229.20";"10.229.21";"10.229.25";"10.229.26"},E26)))),"SCT SI - OCD",""))))))</f>
        <v>SCT SI - OCD</v>
      </c>
      <c r="V26" s="127" t="str" cm="1">
        <f t="array" ref="V26">IF(K26="","",IF(OR(ISNUMBER(SEARCH({"10.205.37";"10.205.38";"10.205.69";"10.205.31";"10.205.28";"10.205.27"},K26))),"Platform-Runtime and Azure OPS",
IF(OR(ISNUMBER(SEARCH({"10.229.16";"10.229.17";"10.229.18";"10.229.19";"10.229.20";"10.229.21";"10.229.25";"10.229.26"},K26))),"SDDC",
IF(OR(ISNUMBER(SEARCH({"10.220";"10.221";"10.222";"10.223";"10.224";"10.225";"10.229";"185.130.242"},K26))),"SDDC",
IF(OR(ISNUMBER(SEARCH({"10.226";"10.227";"10.205"},K26))),"Azure OPS and SDDC",
IF(AND(NOT(ISNUMBER(SEARCH({"10.220";"10.221";"10.222";"10.223";"10.224";"10.225";"10.229";"10.226";"10.227";"10.205";"10.205.37";"10.205.38";"10.205.69";"10.205.31";"10.205.28";"10.205.27";"10.229.16";"10.229.17";"10.229.18";"10.229.19";"10.229.20";"10.229.21";"10.229.25";"10.229.26"},K26)))),"SCT SI - OCD",""))))))</f>
        <v>SDDC</v>
      </c>
      <c r="W26" s="18"/>
    </row>
    <row r="27" spans="1:23" x14ac:dyDescent="0.35">
      <c r="A27" s="18"/>
      <c r="B27" s="45">
        <v>14</v>
      </c>
      <c r="C27" s="170" t="s">
        <v>295</v>
      </c>
      <c r="D27" s="47">
        <v>864228</v>
      </c>
      <c r="E27" s="48" t="s">
        <v>287</v>
      </c>
      <c r="F27" s="46"/>
      <c r="G27" s="36"/>
      <c r="H27" s="46"/>
      <c r="I27" s="46"/>
      <c r="J27" s="170">
        <v>290139</v>
      </c>
      <c r="K27" s="49" t="s">
        <v>281</v>
      </c>
      <c r="L27" s="36" t="s">
        <v>302</v>
      </c>
      <c r="M27" s="36"/>
      <c r="N27" s="36" t="s">
        <v>202</v>
      </c>
      <c r="O27" s="36" t="s">
        <v>217</v>
      </c>
      <c r="P27" s="159"/>
      <c r="Q27" s="40" t="s">
        <v>116</v>
      </c>
      <c r="R27" s="41" t="s">
        <v>117</v>
      </c>
      <c r="S27" s="42"/>
      <c r="T27" s="50"/>
      <c r="U27" s="131" t="str" cm="1">
        <f t="array" ref="U27">IF(E27="","",IF(OR(ISNUMBER(SEARCH({"10.205.37";"10.205.38";"10.205.69";"10.205.31";"10.205.28";"10.205.27"},E27))),"Platform-Runtime and Azure OPS",
IF(OR(ISNUMBER(SEARCH({"10.229.16";"10.229.17";"10.229.18";"10.229.19";"10.229.20";"10.229.21";"10.229.25";"10.229.26"},E27))),"SDDC",
IF(OR(ISNUMBER(SEARCH({"10.220";"10.221";"10.222";"10.223";"10.224";"10.225";"10.229";"185.130.242"},E27))),"SDDC",
IF(OR(ISNUMBER(SEARCH({"10.226";"10.227";"10.205"},E27))),"Azure OPS and SDDC",
IF(AND(NOT(ISNUMBER(SEARCH({"10.220";"10.221";"10.222";"10.223";"10.224";"10.225";"10.229";"10.226";"10.227";"10.205";"10.205.37";"10.205.38";"10.205.69";"10.205.31";"10.205.28";"10.205.27";"10.229.16";"10.229.17";"10.229.18";"10.229.19";"10.229.20";"10.229.21";"10.229.25";"10.229.26"},E27)))),"SCT SI - OCD",""))))))</f>
        <v>SCT SI - OCD</v>
      </c>
      <c r="V27" s="127" t="str" cm="1">
        <f t="array" ref="V27">IF(K27="","",IF(OR(ISNUMBER(SEARCH({"10.205.37";"10.205.38";"10.205.69";"10.205.31";"10.205.28";"10.205.27"},K27))),"Platform-Runtime and Azure OPS",
IF(OR(ISNUMBER(SEARCH({"10.229.16";"10.229.17";"10.229.18";"10.229.19";"10.229.20";"10.229.21";"10.229.25";"10.229.26"},K27))),"SDDC",
IF(OR(ISNUMBER(SEARCH({"10.220";"10.221";"10.222";"10.223";"10.224";"10.225";"10.229";"185.130.242"},K27))),"SDDC",
IF(OR(ISNUMBER(SEARCH({"10.226";"10.227";"10.205"},K27))),"Azure OPS and SDDC",
IF(AND(NOT(ISNUMBER(SEARCH({"10.220";"10.221";"10.222";"10.223";"10.224";"10.225";"10.229";"10.226";"10.227";"10.205";"10.205.37";"10.205.38";"10.205.69";"10.205.31";"10.205.28";"10.205.27";"10.229.16";"10.229.17";"10.229.18";"10.229.19";"10.229.20";"10.229.21";"10.229.25";"10.229.26"},K27)))),"SCT SI - OCD",""))))))</f>
        <v>SDDC</v>
      </c>
      <c r="W27" s="126"/>
    </row>
    <row r="28" spans="1:23" ht="15.6" thickBot="1" x14ac:dyDescent="0.4">
      <c r="A28" s="18"/>
      <c r="B28" s="52">
        <v>15</v>
      </c>
      <c r="C28" s="160" t="s">
        <v>295</v>
      </c>
      <c r="D28" s="54">
        <v>864228</v>
      </c>
      <c r="E28" s="55" t="s">
        <v>288</v>
      </c>
      <c r="F28" s="53"/>
      <c r="G28" s="56"/>
      <c r="H28" s="53"/>
      <c r="I28" s="53"/>
      <c r="J28" s="160">
        <v>290139</v>
      </c>
      <c r="K28" s="55" t="s">
        <v>281</v>
      </c>
      <c r="L28" s="56" t="s">
        <v>302</v>
      </c>
      <c r="M28" s="56"/>
      <c r="N28" s="53" t="s">
        <v>202</v>
      </c>
      <c r="O28" s="53" t="s">
        <v>217</v>
      </c>
      <c r="P28" s="160"/>
      <c r="Q28" s="53" t="s">
        <v>116</v>
      </c>
      <c r="R28" s="57" t="s">
        <v>117</v>
      </c>
      <c r="S28" s="42"/>
      <c r="T28" s="50"/>
      <c r="U28" s="132" t="str" cm="1">
        <f t="array" ref="U28">IF(E28="","",IF(OR(ISNUMBER(SEARCH({"10.205.37";"10.205.38";"10.205.69";"10.205.31";"10.205.28";"10.205.27"},E28))),"Platform-Runtime and Azure OPS",
IF(OR(ISNUMBER(SEARCH({"10.229.16";"10.229.17";"10.229.18";"10.229.19";"10.229.20";"10.229.21";"10.229.25";"10.229.26"},E28))),"SDDC",
IF(OR(ISNUMBER(SEARCH({"10.220";"10.221";"10.222";"10.223";"10.224";"10.225";"10.229";"185.130.242"},E28))),"SDDC",
IF(OR(ISNUMBER(SEARCH({"10.226";"10.227";"10.205"},E28))),"Azure OPS and SDDC",
IF(AND(NOT(ISNUMBER(SEARCH({"10.220";"10.221";"10.222";"10.223";"10.224";"10.225";"10.229";"10.226";"10.227";"10.205";"10.205.37";"10.205.38";"10.205.69";"10.205.31";"10.205.28";"10.205.27";"10.229.16";"10.229.17";"10.229.18";"10.229.19";"10.229.20";"10.229.21";"10.229.25";"10.229.26"},E28)))),"SCT SI - OCD",""))))))</f>
        <v>SCT SI - OCD</v>
      </c>
      <c r="V28" s="128" t="str" cm="1">
        <f t="array" ref="V28">IF(K28="","",IF(OR(ISNUMBER(SEARCH({"10.205.37";"10.205.38";"10.205.69";"10.205.31";"10.205.28";"10.205.27"},K28))),"Platform-Runtime and Azure OPS",
IF(OR(ISNUMBER(SEARCH({"10.229.16";"10.229.17";"10.229.18";"10.229.19";"10.229.20";"10.229.21";"10.229.25";"10.229.26"},K28))),"SDDC",
IF(OR(ISNUMBER(SEARCH({"10.220";"10.221";"10.222";"10.223";"10.224";"10.225";"10.229";"185.130.242"},K28))),"SDDC",
IF(OR(ISNUMBER(SEARCH({"10.226";"10.227";"10.205"},K28))),"Azure OPS and SDDC",
IF(AND(NOT(ISNUMBER(SEARCH({"10.220";"10.221";"10.222";"10.223";"10.224";"10.225";"10.229";"10.226";"10.227";"10.205";"10.205.37";"10.205.38";"10.205.69";"10.205.31";"10.205.28";"10.205.27";"10.229.16";"10.229.17";"10.229.18";"10.229.19";"10.229.20";"10.229.21";"10.229.25";"10.229.26"},K28)))),"SCT SI - OCD",""))))))</f>
        <v>SDDC</v>
      </c>
      <c r="W28" s="18"/>
    </row>
    <row r="29" spans="1:23" x14ac:dyDescent="0.35">
      <c r="A29" s="18"/>
      <c r="B29" s="18"/>
      <c r="C29" s="18"/>
      <c r="D29" s="18"/>
      <c r="E29" s="18"/>
      <c r="F29" s="18"/>
      <c r="G29" s="18"/>
      <c r="H29" s="18"/>
      <c r="I29" s="18"/>
      <c r="J29" s="18"/>
      <c r="K29" s="18"/>
      <c r="L29" s="18"/>
      <c r="M29" s="18"/>
      <c r="N29" s="18"/>
      <c r="O29" s="18"/>
      <c r="P29" s="18"/>
      <c r="Q29" s="18"/>
      <c r="R29" s="18"/>
      <c r="S29" s="18"/>
      <c r="T29" s="18"/>
      <c r="U29" s="18"/>
      <c r="V29" s="18"/>
      <c r="W29" s="18"/>
    </row>
    <row r="30" spans="1:23" ht="15.6" thickBot="1" x14ac:dyDescent="0.4">
      <c r="A30" s="18"/>
      <c r="B30" s="58"/>
      <c r="C30" s="18"/>
      <c r="D30" s="58"/>
      <c r="E30" s="58"/>
      <c r="F30" s="58"/>
      <c r="G30" s="18"/>
      <c r="H30" s="18"/>
      <c r="I30" s="18"/>
      <c r="J30" s="18"/>
      <c r="K30" s="18"/>
      <c r="L30" s="18"/>
      <c r="M30" s="18"/>
      <c r="N30" s="18"/>
      <c r="O30" s="18"/>
      <c r="P30" s="18"/>
      <c r="Q30" s="18"/>
      <c r="R30" s="18"/>
      <c r="S30" s="18"/>
      <c r="T30" s="18"/>
      <c r="U30" s="18"/>
      <c r="V30" s="18"/>
      <c r="W30" s="18"/>
    </row>
    <row r="31" spans="1:23" ht="16.8" x14ac:dyDescent="0.35">
      <c r="A31" s="18"/>
      <c r="B31" s="153" t="s">
        <v>120</v>
      </c>
      <c r="C31" s="156"/>
      <c r="D31" s="154"/>
      <c r="E31" s="154"/>
      <c r="F31" s="154"/>
      <c r="G31" s="59"/>
      <c r="H31" s="59"/>
      <c r="I31" s="59"/>
      <c r="J31" s="59"/>
      <c r="K31" s="60"/>
      <c r="L31" s="60"/>
      <c r="M31" s="135"/>
      <c r="N31" s="18"/>
      <c r="O31" s="18"/>
      <c r="P31" s="18"/>
      <c r="Q31" s="18"/>
      <c r="R31" s="18"/>
      <c r="S31" s="18"/>
      <c r="T31" s="18"/>
      <c r="U31" s="18"/>
      <c r="V31" s="18"/>
      <c r="W31" s="18"/>
    </row>
    <row r="32" spans="1:23" ht="15" customHeight="1" x14ac:dyDescent="0.35">
      <c r="A32" s="18"/>
      <c r="B32" s="199" t="s">
        <v>283</v>
      </c>
      <c r="C32" s="200"/>
      <c r="D32" s="200"/>
      <c r="E32" s="200"/>
      <c r="F32" s="200"/>
      <c r="G32" s="61"/>
      <c r="H32" s="61"/>
      <c r="I32" s="61"/>
      <c r="J32" s="61"/>
      <c r="K32" s="61"/>
      <c r="L32" s="61"/>
      <c r="M32" s="62"/>
      <c r="N32" s="18"/>
      <c r="O32" s="18"/>
      <c r="P32" s="18"/>
      <c r="Q32" s="18"/>
      <c r="R32" s="18"/>
      <c r="S32" s="18"/>
      <c r="T32" s="18"/>
      <c r="U32" s="18"/>
      <c r="V32" s="18"/>
      <c r="W32" s="18"/>
    </row>
    <row r="33" spans="1:23" ht="16.8" x14ac:dyDescent="0.4">
      <c r="A33" s="18"/>
      <c r="B33" s="199"/>
      <c r="C33" s="200"/>
      <c r="D33" s="200"/>
      <c r="E33" s="200"/>
      <c r="F33" s="200"/>
      <c r="G33" s="61"/>
      <c r="H33" s="61"/>
      <c r="I33" s="61"/>
      <c r="J33" s="61"/>
      <c r="K33" s="61"/>
      <c r="L33" s="61"/>
      <c r="M33" s="62"/>
      <c r="N33" s="18"/>
      <c r="O33" s="18"/>
      <c r="P33" s="18"/>
      <c r="Q33" s="18"/>
      <c r="R33" s="18"/>
      <c r="S33" s="63"/>
      <c r="T33" s="18"/>
      <c r="U33" s="18"/>
      <c r="V33" s="18"/>
      <c r="W33" s="18"/>
    </row>
    <row r="34" spans="1:23" ht="16.5" customHeight="1" x14ac:dyDescent="0.4">
      <c r="A34" s="18"/>
      <c r="B34" s="199"/>
      <c r="C34" s="200"/>
      <c r="D34" s="200"/>
      <c r="E34" s="200"/>
      <c r="F34" s="200"/>
      <c r="G34" s="61"/>
      <c r="H34" s="61"/>
      <c r="I34" s="61"/>
      <c r="J34" s="61"/>
      <c r="K34" s="61"/>
      <c r="L34" s="61"/>
      <c r="M34" s="62"/>
      <c r="N34" s="18"/>
      <c r="O34" s="18"/>
      <c r="P34" s="18"/>
      <c r="Q34" s="18"/>
      <c r="R34" s="18"/>
      <c r="S34" s="63"/>
      <c r="T34" s="18"/>
      <c r="U34" s="18"/>
      <c r="V34" s="18"/>
      <c r="W34" s="18"/>
    </row>
    <row r="35" spans="1:23" ht="16.8" x14ac:dyDescent="0.4">
      <c r="A35" s="18"/>
      <c r="B35" s="157" t="s">
        <v>121</v>
      </c>
      <c r="C35" s="157"/>
      <c r="D35" s="157"/>
      <c r="E35" s="157"/>
      <c r="F35" s="157"/>
      <c r="G35" s="61"/>
      <c r="H35" s="61"/>
      <c r="I35" s="61"/>
      <c r="J35" s="61"/>
      <c r="K35" s="61"/>
      <c r="L35" s="61"/>
      <c r="M35" s="62"/>
      <c r="N35" s="18"/>
      <c r="O35" s="18"/>
      <c r="P35" s="18"/>
      <c r="Q35" s="18"/>
      <c r="R35" s="18"/>
      <c r="S35" s="63"/>
      <c r="T35" s="18"/>
      <c r="U35" s="18"/>
      <c r="V35" s="18"/>
      <c r="W35" s="18"/>
    </row>
    <row r="36" spans="1:23" ht="16.8" x14ac:dyDescent="0.4">
      <c r="A36" s="18"/>
      <c r="B36" s="197" t="s">
        <v>301</v>
      </c>
      <c r="C36" s="198"/>
      <c r="D36" s="198"/>
      <c r="E36" s="198"/>
      <c r="F36" s="198"/>
      <c r="G36" s="61"/>
      <c r="H36" s="61"/>
      <c r="I36" s="61"/>
      <c r="J36" s="61"/>
      <c r="K36" s="61"/>
      <c r="L36" s="61"/>
      <c r="M36" s="62"/>
      <c r="N36" s="18"/>
      <c r="O36" s="18"/>
      <c r="P36" s="18"/>
      <c r="Q36" s="18"/>
      <c r="R36" s="18"/>
      <c r="S36" s="63"/>
      <c r="T36" s="18"/>
      <c r="U36" s="18"/>
      <c r="V36" s="18"/>
      <c r="W36" s="18"/>
    </row>
    <row r="37" spans="1:23" ht="15.75" customHeight="1" x14ac:dyDescent="0.35">
      <c r="A37" s="18"/>
      <c r="B37" s="197"/>
      <c r="C37" s="198"/>
      <c r="D37" s="198"/>
      <c r="E37" s="198"/>
      <c r="F37" s="198"/>
      <c r="G37" s="61"/>
      <c r="H37" s="61"/>
      <c r="I37" s="61"/>
      <c r="J37" s="61"/>
      <c r="K37" s="61"/>
      <c r="L37" s="61"/>
      <c r="M37" s="62"/>
      <c r="N37" s="18"/>
      <c r="O37" s="18"/>
      <c r="P37" s="18"/>
      <c r="Q37" s="18"/>
      <c r="R37" s="18"/>
      <c r="S37" s="18"/>
      <c r="T37" s="18"/>
      <c r="U37" s="18"/>
      <c r="V37" s="18"/>
      <c r="W37" s="18"/>
    </row>
    <row r="38" spans="1:23" x14ac:dyDescent="0.35">
      <c r="A38" s="18"/>
      <c r="B38" s="64"/>
      <c r="C38" s="61"/>
      <c r="D38" s="61"/>
      <c r="E38" s="61"/>
      <c r="F38" s="61"/>
      <c r="G38" s="61"/>
      <c r="H38" s="61"/>
      <c r="I38" s="61"/>
      <c r="J38" s="61"/>
      <c r="K38" s="61"/>
      <c r="L38" s="61"/>
      <c r="M38" s="62"/>
      <c r="N38" s="18"/>
      <c r="O38" s="18"/>
      <c r="P38" s="18"/>
      <c r="Q38" s="18"/>
      <c r="R38" s="18"/>
      <c r="S38" s="18"/>
      <c r="T38" s="18"/>
      <c r="U38" s="18"/>
      <c r="V38" s="18"/>
      <c r="W38" s="18"/>
    </row>
    <row r="39" spans="1:23" ht="15.6" thickBot="1" x14ac:dyDescent="0.4">
      <c r="A39" s="18"/>
      <c r="B39" s="65"/>
      <c r="C39" s="66"/>
      <c r="D39" s="66"/>
      <c r="E39" s="66"/>
      <c r="F39" s="66"/>
      <c r="G39" s="66"/>
      <c r="H39" s="66"/>
      <c r="I39" s="66"/>
      <c r="J39" s="66"/>
      <c r="K39" s="66"/>
      <c r="L39" s="66"/>
      <c r="M39" s="67"/>
      <c r="N39" s="18"/>
      <c r="O39" s="18"/>
      <c r="P39" s="18"/>
      <c r="Q39" s="18"/>
      <c r="R39" s="18"/>
      <c r="S39" s="18"/>
      <c r="T39" s="18"/>
      <c r="U39" s="18"/>
      <c r="V39" s="18"/>
      <c r="W39" s="18"/>
    </row>
    <row r="40" spans="1:23" x14ac:dyDescent="0.35">
      <c r="A40" s="18"/>
      <c r="B40" s="18"/>
      <c r="C40" s="18"/>
      <c r="D40" s="18"/>
      <c r="E40" s="18"/>
      <c r="F40" s="18"/>
      <c r="G40" s="18"/>
      <c r="H40" s="18"/>
      <c r="I40" s="18"/>
      <c r="J40" s="18"/>
      <c r="K40" s="18"/>
      <c r="L40" s="18"/>
      <c r="M40" s="18"/>
      <c r="N40" s="18"/>
      <c r="O40" s="18"/>
      <c r="P40" s="18"/>
      <c r="Q40" s="18"/>
      <c r="R40" s="18"/>
      <c r="S40" s="18"/>
      <c r="T40" s="18"/>
      <c r="U40" s="18"/>
      <c r="V40" s="18"/>
      <c r="W40" s="18"/>
    </row>
    <row r="41" spans="1:23" x14ac:dyDescent="0.35">
      <c r="A41" s="18"/>
      <c r="B41" s="18"/>
      <c r="C41" s="18"/>
      <c r="D41" s="18"/>
      <c r="E41" s="18"/>
      <c r="F41" s="18"/>
      <c r="G41" s="18"/>
      <c r="H41" s="18"/>
      <c r="I41" s="18"/>
      <c r="J41" s="18"/>
      <c r="K41" s="18"/>
      <c r="L41" s="18"/>
      <c r="M41" s="18"/>
      <c r="N41" s="18"/>
      <c r="O41" s="18"/>
      <c r="P41" s="18"/>
      <c r="Q41" s="18"/>
      <c r="R41" s="18"/>
      <c r="S41" s="18"/>
      <c r="T41" s="18"/>
      <c r="U41" s="18"/>
      <c r="V41" s="18"/>
      <c r="W41" s="18"/>
    </row>
    <row r="42" spans="1:23" x14ac:dyDescent="0.35">
      <c r="A42" s="18"/>
      <c r="B42" s="18"/>
      <c r="C42" s="18"/>
      <c r="D42" s="18"/>
      <c r="E42" s="18"/>
      <c r="F42" s="18"/>
      <c r="G42" s="18"/>
      <c r="H42" s="18"/>
      <c r="I42" s="18"/>
      <c r="J42" s="18"/>
      <c r="K42" s="18"/>
      <c r="L42" s="18"/>
      <c r="M42" s="18"/>
      <c r="N42" s="18"/>
      <c r="O42" s="18"/>
      <c r="P42" s="18"/>
      <c r="Q42" s="18"/>
      <c r="R42" s="18"/>
      <c r="S42" s="18"/>
      <c r="T42" s="18"/>
      <c r="U42" s="18"/>
      <c r="V42" s="18"/>
      <c r="W42" s="18"/>
    </row>
    <row r="43" spans="1:23" x14ac:dyDescent="0.35">
      <c r="A43" s="18"/>
      <c r="B43" s="18"/>
      <c r="C43" s="18"/>
      <c r="D43" s="18"/>
      <c r="E43" s="18"/>
      <c r="F43" s="18"/>
      <c r="G43" s="18"/>
      <c r="H43" s="18"/>
      <c r="I43" s="18"/>
      <c r="J43" s="18"/>
      <c r="K43" s="18"/>
      <c r="L43" s="18"/>
      <c r="M43" s="18"/>
      <c r="N43" s="18"/>
      <c r="O43" s="18"/>
      <c r="P43" s="18"/>
      <c r="Q43" s="18"/>
      <c r="R43" s="18"/>
      <c r="S43" s="18"/>
      <c r="T43" s="18"/>
      <c r="U43" s="18"/>
      <c r="V43" s="18"/>
      <c r="W43" s="18"/>
    </row>
    <row r="44" spans="1:23" x14ac:dyDescent="0.35">
      <c r="A44" s="18"/>
      <c r="B44" s="18"/>
      <c r="C44" s="18"/>
      <c r="D44" s="18"/>
      <c r="E44" s="18"/>
      <c r="F44" s="18"/>
      <c r="G44" s="18"/>
      <c r="H44" s="18"/>
      <c r="I44" s="18"/>
      <c r="J44" s="18"/>
      <c r="K44" s="18"/>
      <c r="L44" s="18"/>
      <c r="M44" s="18"/>
      <c r="N44" s="18"/>
      <c r="O44" s="18"/>
      <c r="P44" s="18"/>
      <c r="Q44" s="18"/>
      <c r="R44" s="18"/>
      <c r="S44" s="18"/>
      <c r="T44" s="18"/>
      <c r="U44" s="18"/>
      <c r="V44" s="18"/>
      <c r="W44" s="18"/>
    </row>
    <row r="45" spans="1:23" x14ac:dyDescent="0.35">
      <c r="A45" s="18"/>
      <c r="B45" s="18"/>
      <c r="C45" s="18"/>
      <c r="D45" s="18"/>
      <c r="E45" s="18"/>
      <c r="F45" s="18"/>
      <c r="G45" s="18"/>
      <c r="H45" s="18"/>
      <c r="I45" s="18"/>
      <c r="J45" s="18"/>
      <c r="K45" s="18"/>
      <c r="L45" s="18"/>
      <c r="M45" s="18"/>
      <c r="N45" s="18"/>
      <c r="O45" s="18"/>
      <c r="P45" s="18"/>
      <c r="Q45" s="18"/>
      <c r="R45" s="18"/>
      <c r="S45" s="18"/>
      <c r="T45" s="18"/>
      <c r="U45" s="18"/>
      <c r="V45" s="18"/>
      <c r="W45" s="18"/>
    </row>
    <row r="46" spans="1:23" x14ac:dyDescent="0.35">
      <c r="A46" s="18"/>
      <c r="B46" s="18"/>
      <c r="C46" s="18"/>
      <c r="D46" s="18"/>
      <c r="E46" s="18"/>
      <c r="F46" s="18"/>
      <c r="G46" s="18"/>
      <c r="H46" s="18"/>
      <c r="I46" s="18"/>
      <c r="J46" s="18"/>
      <c r="K46" s="18"/>
      <c r="L46" s="18"/>
      <c r="M46" s="18"/>
      <c r="N46" s="18"/>
      <c r="O46" s="18"/>
      <c r="P46" s="18"/>
      <c r="Q46" s="18"/>
      <c r="R46" s="18"/>
      <c r="S46" s="18"/>
      <c r="T46" s="18"/>
      <c r="U46" s="18"/>
      <c r="V46" s="18"/>
      <c r="W46" s="18"/>
    </row>
    <row r="47" spans="1:23" x14ac:dyDescent="0.35">
      <c r="A47" s="18"/>
      <c r="B47" s="18"/>
      <c r="C47" s="18"/>
      <c r="D47" s="18"/>
      <c r="E47" s="18"/>
      <c r="F47" s="18"/>
      <c r="G47" s="18"/>
      <c r="H47" s="18"/>
      <c r="I47" s="18"/>
      <c r="J47" s="18"/>
      <c r="K47" s="18"/>
      <c r="L47" s="18"/>
      <c r="M47" s="18"/>
      <c r="N47" s="18"/>
      <c r="O47" s="18"/>
      <c r="P47" s="18"/>
      <c r="Q47" s="18"/>
      <c r="R47" s="18"/>
      <c r="S47" s="18"/>
      <c r="T47" s="18"/>
      <c r="U47" s="18"/>
      <c r="V47" s="18"/>
      <c r="W47" s="18"/>
    </row>
    <row r="48" spans="1:23" x14ac:dyDescent="0.35">
      <c r="A48" s="18"/>
      <c r="B48" s="18"/>
      <c r="C48" s="18"/>
      <c r="D48" s="18"/>
      <c r="E48" s="18"/>
      <c r="F48" s="18"/>
      <c r="G48" s="18"/>
      <c r="H48" s="18"/>
      <c r="I48" s="18"/>
      <c r="J48" s="18"/>
      <c r="K48" s="18"/>
      <c r="L48" s="18"/>
      <c r="M48" s="18"/>
      <c r="N48" s="18"/>
      <c r="O48" s="18"/>
      <c r="P48" s="18"/>
      <c r="Q48" s="18"/>
      <c r="R48" s="18"/>
      <c r="S48" s="18"/>
      <c r="T48" s="18"/>
      <c r="U48" s="18"/>
      <c r="V48" s="18"/>
      <c r="W48" s="18"/>
    </row>
    <row r="49" spans="1:23" x14ac:dyDescent="0.35">
      <c r="A49" s="18"/>
      <c r="B49" s="18"/>
      <c r="C49" s="18"/>
      <c r="D49" s="18"/>
      <c r="E49" s="18"/>
      <c r="F49" s="18"/>
      <c r="G49" s="18"/>
      <c r="H49" s="18"/>
      <c r="I49" s="18"/>
      <c r="J49" s="18"/>
      <c r="K49" s="18"/>
      <c r="L49" s="18"/>
      <c r="M49" s="18"/>
      <c r="N49" s="18"/>
      <c r="O49" s="18"/>
      <c r="P49" s="18"/>
      <c r="Q49" s="18"/>
      <c r="R49" s="18"/>
      <c r="S49" s="18"/>
      <c r="T49" s="18"/>
      <c r="U49" s="18"/>
      <c r="V49" s="18"/>
      <c r="W49" s="18"/>
    </row>
    <row r="50" spans="1:23" x14ac:dyDescent="0.35">
      <c r="A50" s="18"/>
      <c r="B50" s="18"/>
      <c r="C50" s="18"/>
      <c r="D50" s="18"/>
      <c r="E50" s="18"/>
      <c r="F50" s="18"/>
      <c r="G50" s="18"/>
      <c r="H50" s="18"/>
      <c r="I50" s="18"/>
      <c r="J50" s="18"/>
      <c r="K50" s="18"/>
      <c r="L50" s="18"/>
      <c r="M50" s="18"/>
      <c r="N50" s="18"/>
      <c r="O50" s="18"/>
      <c r="P50" s="18"/>
      <c r="Q50" s="18"/>
      <c r="R50" s="18"/>
      <c r="S50" s="18"/>
      <c r="T50" s="18"/>
      <c r="U50" s="18"/>
      <c r="V50" s="18"/>
      <c r="W50" s="18"/>
    </row>
    <row r="51" spans="1:23" x14ac:dyDescent="0.35">
      <c r="A51" s="18"/>
      <c r="B51" s="18"/>
      <c r="C51" s="18"/>
      <c r="D51" s="18"/>
      <c r="E51" s="18"/>
      <c r="F51" s="18"/>
      <c r="G51" s="18"/>
      <c r="H51" s="18"/>
      <c r="I51" s="18"/>
      <c r="J51" s="18"/>
      <c r="K51" s="18"/>
      <c r="L51" s="18"/>
      <c r="M51" s="18"/>
      <c r="N51" s="18"/>
      <c r="O51" s="18"/>
      <c r="P51" s="18"/>
      <c r="Q51" s="18"/>
      <c r="R51" s="18"/>
      <c r="S51" s="18"/>
      <c r="T51" s="18"/>
      <c r="U51" s="18"/>
      <c r="V51" s="18"/>
      <c r="W51" s="18"/>
    </row>
    <row r="52" spans="1:23" x14ac:dyDescent="0.35">
      <c r="A52" s="18"/>
      <c r="B52" s="18"/>
      <c r="C52" s="18"/>
      <c r="D52" s="18"/>
      <c r="E52" s="18"/>
      <c r="F52" s="18"/>
      <c r="G52" s="18"/>
      <c r="H52" s="18"/>
      <c r="I52" s="18"/>
      <c r="J52" s="18"/>
      <c r="K52" s="18"/>
      <c r="L52" s="18"/>
      <c r="M52" s="18"/>
      <c r="N52" s="18"/>
      <c r="O52" s="18"/>
      <c r="P52" s="18"/>
      <c r="Q52" s="18"/>
      <c r="R52" s="18"/>
      <c r="S52" s="18"/>
      <c r="T52" s="18"/>
      <c r="U52" s="18"/>
      <c r="V52" s="18"/>
      <c r="W52" s="18"/>
    </row>
    <row r="53" spans="1:23" x14ac:dyDescent="0.35">
      <c r="N53" s="11"/>
      <c r="O53" s="11"/>
      <c r="P53" s="11"/>
      <c r="Q53" s="11"/>
      <c r="R53" s="11"/>
      <c r="S53" s="11"/>
      <c r="T53" s="11"/>
      <c r="U53" s="11"/>
      <c r="V53" s="11"/>
    </row>
    <row r="54" spans="1:23" x14ac:dyDescent="0.35">
      <c r="N54" s="11"/>
      <c r="O54" s="11"/>
      <c r="P54" s="11"/>
      <c r="Q54" s="11"/>
      <c r="R54" s="11"/>
      <c r="S54" s="11"/>
      <c r="T54" s="11"/>
      <c r="U54" s="11"/>
      <c r="V54" s="11"/>
    </row>
    <row r="55" spans="1:23" x14ac:dyDescent="0.35">
      <c r="N55" s="11"/>
      <c r="O55" s="11"/>
      <c r="P55" s="11"/>
      <c r="Q55" s="11"/>
      <c r="R55" s="11"/>
      <c r="S55" s="11"/>
      <c r="T55" s="11"/>
      <c r="U55" s="11"/>
      <c r="V55" s="11"/>
    </row>
    <row r="56" spans="1:23" x14ac:dyDescent="0.35">
      <c r="N56" s="11"/>
      <c r="O56" s="11"/>
      <c r="P56" s="11"/>
      <c r="Q56" s="11"/>
      <c r="R56" s="11"/>
      <c r="S56" s="11"/>
      <c r="T56" s="11"/>
      <c r="U56" s="11"/>
      <c r="V56" s="11"/>
    </row>
    <row r="57" spans="1:23" x14ac:dyDescent="0.35">
      <c r="N57" s="11"/>
      <c r="O57" s="11"/>
      <c r="P57" s="11"/>
      <c r="Q57" s="11"/>
      <c r="R57" s="11"/>
      <c r="S57" s="11"/>
      <c r="T57" s="11"/>
      <c r="U57" s="11"/>
      <c r="V57" s="11"/>
    </row>
    <row r="58" spans="1:23" x14ac:dyDescent="0.35">
      <c r="N58" s="11"/>
      <c r="O58" s="11"/>
      <c r="P58" s="11"/>
      <c r="Q58" s="11"/>
      <c r="R58" s="11"/>
      <c r="S58" s="11"/>
      <c r="T58" s="11"/>
      <c r="U58" s="11"/>
      <c r="V58" s="11"/>
    </row>
    <row r="59" spans="1:23" x14ac:dyDescent="0.35">
      <c r="N59" s="11"/>
      <c r="O59" s="11"/>
      <c r="P59" s="11"/>
      <c r="Q59" s="11"/>
      <c r="R59" s="11"/>
      <c r="S59" s="11"/>
      <c r="T59" s="11"/>
      <c r="U59" s="11"/>
      <c r="V59" s="11"/>
    </row>
    <row r="60" spans="1:23" x14ac:dyDescent="0.35">
      <c r="N60" s="11"/>
      <c r="O60" s="11"/>
      <c r="P60" s="11"/>
      <c r="Q60" s="11"/>
      <c r="R60" s="11"/>
      <c r="S60" s="11"/>
      <c r="T60" s="11"/>
      <c r="U60" s="11"/>
      <c r="V60" s="11"/>
    </row>
    <row r="61" spans="1:23" x14ac:dyDescent="0.35">
      <c r="N61" s="11"/>
      <c r="O61" s="11"/>
      <c r="P61" s="11"/>
      <c r="Q61" s="11"/>
      <c r="R61" s="11"/>
      <c r="S61" s="11"/>
      <c r="T61" s="11"/>
      <c r="U61" s="11"/>
      <c r="V61" s="11"/>
    </row>
    <row r="62" spans="1:23" x14ac:dyDescent="0.35">
      <c r="N62" s="11"/>
      <c r="O62" s="11"/>
      <c r="P62" s="11"/>
      <c r="Q62" s="11"/>
      <c r="R62" s="11"/>
      <c r="S62" s="11"/>
      <c r="T62" s="11"/>
      <c r="U62" s="11"/>
      <c r="V62" s="11"/>
    </row>
    <row r="63" spans="1:23" x14ac:dyDescent="0.35">
      <c r="N63" s="11"/>
      <c r="O63" s="11"/>
      <c r="P63" s="11"/>
      <c r="Q63" s="11"/>
      <c r="R63" s="11"/>
      <c r="S63" s="11"/>
      <c r="T63" s="11"/>
      <c r="U63" s="11"/>
      <c r="V63" s="11"/>
    </row>
    <row r="64" spans="1:23" x14ac:dyDescent="0.35">
      <c r="N64" s="11"/>
      <c r="O64" s="11"/>
      <c r="P64" s="11"/>
      <c r="Q64" s="11"/>
      <c r="R64" s="11"/>
      <c r="S64" s="11"/>
      <c r="T64" s="11"/>
      <c r="U64" s="11"/>
      <c r="V64" s="11"/>
    </row>
    <row r="65" s="11" customFormat="1" x14ac:dyDescent="0.35"/>
    <row r="66" s="11" customFormat="1" x14ac:dyDescent="0.35"/>
    <row r="67" s="11" customFormat="1" x14ac:dyDescent="0.35"/>
    <row r="68" s="11" customFormat="1" x14ac:dyDescent="0.35"/>
    <row r="69" s="11" customFormat="1" x14ac:dyDescent="0.35"/>
    <row r="70" s="11" customFormat="1" x14ac:dyDescent="0.35"/>
    <row r="71" s="11" customFormat="1" x14ac:dyDescent="0.35"/>
    <row r="72" s="11" customFormat="1" x14ac:dyDescent="0.35"/>
    <row r="73" s="11" customFormat="1" x14ac:dyDescent="0.35"/>
    <row r="74" s="11" customFormat="1" x14ac:dyDescent="0.35"/>
    <row r="75" s="11" customFormat="1" x14ac:dyDescent="0.35"/>
    <row r="76" s="11" customFormat="1" x14ac:dyDescent="0.35"/>
    <row r="77" s="11" customFormat="1" x14ac:dyDescent="0.35"/>
    <row r="78" s="11" customFormat="1" x14ac:dyDescent="0.35"/>
    <row r="79" s="11" customFormat="1" x14ac:dyDescent="0.35"/>
    <row r="80" s="11" customFormat="1" x14ac:dyDescent="0.35"/>
    <row r="81" s="11" customFormat="1" x14ac:dyDescent="0.35"/>
    <row r="82" s="11" customFormat="1" x14ac:dyDescent="0.35"/>
    <row r="83" s="11" customFormat="1" x14ac:dyDescent="0.35"/>
    <row r="84" s="11" customFormat="1" x14ac:dyDescent="0.35"/>
    <row r="85" s="11" customFormat="1" x14ac:dyDescent="0.35"/>
    <row r="86" s="11" customFormat="1" x14ac:dyDescent="0.35"/>
    <row r="87" s="11" customFormat="1" x14ac:dyDescent="0.35"/>
    <row r="88" s="11" customFormat="1" x14ac:dyDescent="0.35"/>
    <row r="89" s="11" customFormat="1" x14ac:dyDescent="0.35"/>
    <row r="90" s="11" customFormat="1" x14ac:dyDescent="0.35"/>
    <row r="91" s="11" customFormat="1" x14ac:dyDescent="0.35"/>
    <row r="92" s="11" customFormat="1" x14ac:dyDescent="0.35"/>
    <row r="93" s="11" customFormat="1" x14ac:dyDescent="0.35"/>
    <row r="94" s="11" customFormat="1" x14ac:dyDescent="0.35"/>
    <row r="95" s="11" customFormat="1" x14ac:dyDescent="0.35"/>
    <row r="96" s="11" customFormat="1" x14ac:dyDescent="0.35"/>
    <row r="97" spans="14:22" x14ac:dyDescent="0.35">
      <c r="N97" s="11"/>
      <c r="O97" s="11"/>
      <c r="P97" s="11"/>
      <c r="Q97" s="11"/>
      <c r="R97" s="11"/>
      <c r="S97" s="11"/>
      <c r="T97" s="11"/>
      <c r="U97" s="11"/>
      <c r="V97" s="11"/>
    </row>
    <row r="98" spans="14:22" x14ac:dyDescent="0.35">
      <c r="N98" s="11"/>
      <c r="O98" s="11"/>
      <c r="P98" s="11"/>
      <c r="Q98" s="11"/>
      <c r="R98" s="11"/>
      <c r="S98" s="11"/>
      <c r="T98" s="11"/>
      <c r="U98" s="11"/>
      <c r="V98" s="11"/>
    </row>
    <row r="99" spans="14:22" x14ac:dyDescent="0.35">
      <c r="N99" s="11"/>
      <c r="O99" s="11"/>
      <c r="P99" s="11"/>
      <c r="Q99" s="11"/>
      <c r="R99" s="11"/>
      <c r="S99" s="11"/>
      <c r="T99" s="11"/>
      <c r="U99" s="11"/>
      <c r="V99" s="11"/>
    </row>
    <row r="100" spans="14:22" x14ac:dyDescent="0.35">
      <c r="N100" s="11"/>
      <c r="O100" s="11"/>
      <c r="P100" s="11"/>
      <c r="Q100" s="11"/>
      <c r="R100" s="11"/>
      <c r="S100" s="11"/>
      <c r="T100" s="11"/>
      <c r="U100" s="11"/>
      <c r="V100" s="11"/>
    </row>
    <row r="101" spans="14:22" x14ac:dyDescent="0.35">
      <c r="N101" s="11"/>
      <c r="O101" s="11"/>
      <c r="P101" s="11"/>
      <c r="Q101" s="11"/>
      <c r="R101" s="11"/>
      <c r="S101" s="11"/>
      <c r="T101" s="11"/>
      <c r="U101" s="11"/>
      <c r="V101" s="11"/>
    </row>
    <row r="102" spans="14:22" x14ac:dyDescent="0.35"/>
    <row r="103" spans="14:22" x14ac:dyDescent="0.35"/>
    <row r="104" spans="14:22" x14ac:dyDescent="0.35"/>
    <row r="105" spans="14:22" x14ac:dyDescent="0.35"/>
    <row r="106" spans="14:22" x14ac:dyDescent="0.35"/>
    <row r="107" spans="14:22" x14ac:dyDescent="0.35"/>
    <row r="108" spans="14:22" x14ac:dyDescent="0.35"/>
    <row r="109" spans="14:22" x14ac:dyDescent="0.35"/>
    <row r="110" spans="14:22" x14ac:dyDescent="0.35"/>
  </sheetData>
  <sheetProtection algorithmName="SHA-512" hashValue="VVNgO2PRR0v6Yx+igIRUYvUnF049pg1qrNPFYIIhDMcAwxpDIXNq4sHrJwlawB02Ert7xdC2GyQaQ0JzpiHnPQ==" saltValue="/cFZkt9tnOhX+lOfHYtCUQ==" spinCount="100000" sheet="1" objects="1" scenarios="1"/>
  <mergeCells count="6">
    <mergeCell ref="B36:F37"/>
    <mergeCell ref="B32:F34"/>
    <mergeCell ref="U11:V11"/>
    <mergeCell ref="K11:M11"/>
    <mergeCell ref="I2:I7"/>
    <mergeCell ref="E11:I11"/>
  </mergeCells>
  <phoneticPr fontId="11" type="noConversion"/>
  <conditionalFormatting sqref="A12:D13 A42:C42 A43:B43 C43:C44">
    <cfRule type="expression" dxfId="36" priority="7" stopIfTrue="1">
      <formula>AND(ISNUMBER(VALUE(LEFT(A12, FIND(".", A12)-1))),  ISNUMBER(VALUE(MID(A12, FIND(".", A12)+1, FIND(".", A12, FIND(".", A12)+1)-FIND(".", A12)-1))),  ISNUMBER(VALUE(MID(A12, FIND(".", A12, FIND(".", A12)+1)+1, FIND(".", A12, FIND(".", A12, FIND(".", A12)+1)+1)-FIND(".", A12, FIND(".", A12)+1)-1))),  ISNUMBER(VALUE(RIGHT(A12, LEN(A12)-FIND(".", A12, FIND(".", A12, FIND(".", A12)+1)+1)))),  VALUE(LEFT(A12, FIND(".", A12)-1))&lt;=255,  VALUE(MID(A12, FIND(".", A12)+1, FIND(".", A12, FIND(".", A12)+1)-FIND(".", A12)-1))&lt;=255,  VALUE(MID(A12, FIND(".", A12, FIND(".", A12)+1)+1, FIND(".", A12, FIND(".", A12, FIND(".", A12)+1)+1)-FIND(".", A12, FIND(".", A12)+1)-1))&lt;=255,  VALUE(RIGHT(A12, LEN(A12)-FIND(".", A12, FIND(".", A12, FIND(".", A12)+1)+1)))&lt;=255)</formula>
    </cfRule>
  </conditionalFormatting>
  <conditionalFormatting sqref="B36">
    <cfRule type="expression" dxfId="35" priority="3" stopIfTrue="1">
      <formula>AND(ISNUMBER(VALUE(LEFT(B36, FIND(".", B36)-1))),  ISNUMBER(VALUE(MID(B36, FIND(".", B36)+1, FIND(".", B36, FIND(".", B36)+1)-FIND(".", B36)-1))),  ISNUMBER(VALUE(MID(B36, FIND(".", B36, FIND(".", B36)+1)+1, FIND(".", B36, FIND(".", B36, FIND(".", B36)+1)+1)-FIND(".", B36, FIND(".", B36)+1)-1))),  ISNUMBER(VALUE(RIGHT(B36, LEN(B36)-FIND(".", B36, FIND(".", B36, FIND(".", B36)+1)+1)))),  VALUE(LEFT(B36, FIND(".", B36)-1))&lt;=255,  VALUE(MID(B36, FIND(".", B36)+1, FIND(".", B36, FIND(".", B36)+1)-FIND(".", B36)-1))&lt;=255,  VALUE(MID(B36, FIND(".", B36, FIND(".", B36)+1)+1, FIND(".", B36, FIND(".", B36, FIND(".", B36)+1)+1)-FIND(".", B36, FIND(".", B36)+1)-1))&lt;=255,  VALUE(RIGHT(B36, LEN(B36)-FIND(".", B36, FIND(".", B36, FIND(".", B36)+1)+1)))&lt;=255)</formula>
    </cfRule>
  </conditionalFormatting>
  <conditionalFormatting sqref="B35:F35">
    <cfRule type="expression" dxfId="34" priority="4" stopIfTrue="1">
      <formula>AND(ISNUMBER(VALUE(LEFT(B35, FIND(".", B35)-1))),  ISNUMBER(VALUE(MID(B35, FIND(".", B35)+1, FIND(".", B35, FIND(".", B35)+1)-FIND(".", B35)-1))),  ISNUMBER(VALUE(MID(B35, FIND(".", B35, FIND(".", B35)+1)+1, FIND(".", B35, FIND(".", B35, FIND(".", B35)+1)+1)-FIND(".", B35, FIND(".", B35)+1)-1))),  ISNUMBER(VALUE(RIGHT(B35, LEN(B35)-FIND(".", B35, FIND(".", B35, FIND(".", B35)+1)+1)))),  VALUE(LEFT(B35, FIND(".", B35)-1))&lt;=255,  VALUE(MID(B35, FIND(".", B35)+1, FIND(".", B35, FIND(".", B35)+1)-FIND(".", B35)-1))&lt;=255,  VALUE(MID(B35, FIND(".", B35, FIND(".", B35)+1)+1, FIND(".", B35, FIND(".", B35, FIND(".", B35)+1)+1)-FIND(".", B35, FIND(".", B35)+1)-1))&lt;=255,  VALUE(RIGHT(B35, LEN(B35)-FIND(".", B35, FIND(".", B35, FIND(".", B35)+1)+1)))&lt;=255)</formula>
    </cfRule>
  </conditionalFormatting>
  <conditionalFormatting sqref="C13">
    <cfRule type="expression" dxfId="33" priority="2" stopIfTrue="1">
      <formula>AND(ISNUMBER(VALUE(LEFT(C13, FIND(".", C13)-1))),  ISNUMBER(VALUE(MID(C13, FIND(".", C13)+1, FIND(".", C13, FIND(".", C13)+1)-FIND(".", C13)-1))),  ISNUMBER(VALUE(MID(C13, FIND(".", C13, FIND(".", C13)+1)+1, FIND(".", C13, FIND(".", C13, FIND(".", C13)+1)+1)-FIND(".", C13, FIND(".", C13)+1)-1))),  ISNUMBER(VALUE(RIGHT(C13, LEN(C13)-FIND(".", C13, FIND(".", C13, FIND(".", C13)+1)+1)))),  VALUE(LEFT(C13, FIND(".", C13)-1))&lt;=255,  VALUE(MID(C13, FIND(".", C13)+1, FIND(".", C13, FIND(".", C13)+1)-FIND(".", C13)-1))&lt;=255,  VALUE(MID(C13, FIND(".", C13, FIND(".", C13)+1)+1, FIND(".", C13, FIND(".", C13, FIND(".", C13)+1)+1)-FIND(".", C13, FIND(".", C13)+1)-1))&lt;=255,  VALUE(RIGHT(C13, LEN(C13)-FIND(".", C13, FIND(".", C13, FIND(".", C13)+1)+1)))&lt;=255)</formula>
    </cfRule>
  </conditionalFormatting>
  <conditionalFormatting sqref="D42:XFD43">
    <cfRule type="expression" dxfId="32" priority="1" stopIfTrue="1">
      <formula>AND(ISNUMBER(VALUE(LEFT(D42, FIND(".", D42)-1))),  ISNUMBER(VALUE(MID(D42, FIND(".", D42)+1, FIND(".", D42, FIND(".", D42)+1)-FIND(".", D42)-1))),  ISNUMBER(VALUE(MID(D42, FIND(".", D42, FIND(".", D42)+1)+1, FIND(".", D42, FIND(".", D42, FIND(".", D42)+1)+1)-FIND(".", D42, FIND(".", D42)+1)-1))),  ISNUMBER(VALUE(RIGHT(D42, LEN(D42)-FIND(".", D42, FIND(".", D42, FIND(".", D42)+1)+1)))),  VALUE(LEFT(D42, FIND(".", D42)-1))&lt;=255,  VALUE(MID(D42, FIND(".", D42)+1, FIND(".", D42, FIND(".", D42)+1)-FIND(".", D42)-1))&lt;=255,  VALUE(MID(D42, FIND(".", D42, FIND(".", D42)+1)+1, FIND(".", D42, FIND(".", D42, FIND(".", D42)+1)+1)-FIND(".", D42, FIND(".", D42)+1)-1))&lt;=255,  VALUE(RIGHT(D42, LEN(D42)-FIND(".", D42, FIND(".", D42, FIND(".", D42)+1)+1)))&lt;=255)</formula>
    </cfRule>
  </conditionalFormatting>
  <conditionalFormatting sqref="E13:E28 K13:K28">
    <cfRule type="expression" dxfId="31" priority="66">
      <formula>LEN(E13)&gt;0</formula>
    </cfRule>
  </conditionalFormatting>
  <conditionalFormatting sqref="E12:XFD13 A14:XFD30 A1:XFD1 B2:XFD7 A8:XFD10 B11:E11 K11 N11:U11 W11:XFD11 A31 G31:XFD31 B32 N32:XFD39 A40:XFD41 A44:XFD1048576">
    <cfRule type="expression" dxfId="30" priority="57" stopIfTrue="1">
      <formula>AND(ISNUMBER(VALUE(LEFT(A1, FIND(".", A1)-1))),  ISNUMBER(VALUE(MID(A1, FIND(".", A1)+1, FIND(".", A1, FIND(".", A1)+1)-FIND(".", A1)-1))),  ISNUMBER(VALUE(MID(A1, FIND(".", A1, FIND(".", A1)+1)+1, FIND(".", A1, FIND(".", A1, FIND(".", A1)+1)+1)-FIND(".", A1, FIND(".", A1)+1)-1))),  ISNUMBER(VALUE(RIGHT(A1, LEN(A1)-FIND(".", A1, FIND(".", A1, FIND(".", A1)+1)+1)))),  VALUE(LEFT(A1, FIND(".", A1)-1))&lt;=255,  VALUE(MID(A1, FIND(".", A1)+1, FIND(".", A1, FIND(".", A1)+1)-FIND(".", A1)-1))&lt;=255,  VALUE(MID(A1, FIND(".", A1, FIND(".", A1)+1)+1, FIND(".", A1, FIND(".", A1, FIND(".", A1)+1)+1)-FIND(".", A1, FIND(".", A1)+1)-1))&lt;=255,  VALUE(RIGHT(A1, LEN(A1)-FIND(".", A1, FIND(".", A1, FIND(".", A1)+1)+1)))&lt;=255)</formula>
    </cfRule>
  </conditionalFormatting>
  <conditionalFormatting sqref="U13:V28">
    <cfRule type="cellIs" dxfId="29" priority="6" operator="equal">
      <formula>"Platform-Runtime and Azure OPS"</formula>
    </cfRule>
    <cfRule type="cellIs" dxfId="28" priority="22" operator="equal">
      <formula>"SDDC"</formula>
    </cfRule>
    <cfRule type="cellIs" dxfId="27" priority="23" operator="equal">
      <formula>"Azure OPS"</formula>
    </cfRule>
    <cfRule type="cellIs" dxfId="26" priority="24" operator="equal">
      <formula>"SCT SI - OCD"</formula>
    </cfRule>
    <cfRule type="cellIs" dxfId="25" priority="26" operator="equal">
      <formula>"Azure OPS and SDDC"</formula>
    </cfRule>
  </conditionalFormatting>
  <dataValidations xWindow="673" yWindow="359" count="24">
    <dataValidation allowBlank="1" showInputMessage="1" showErrorMessage="1" prompt="What is the network service that is allowed with this fw rule?" sqref="N12" xr:uid="{4D7014BA-C655-4C78-B542-5AF7AB00680B}"/>
    <dataValidation allowBlank="1" showInputMessage="1" showErrorMessage="1" prompt="This rule applies to this (source) application." sqref="D12" xr:uid="{D4299F84-885A-4375-8F43-B52EFF2420A3}"/>
    <dataValidation allowBlank="1" showInputMessage="1" showErrorMessage="1" prompt="Meaningful description for this firewall rule." sqref="C12" xr:uid="{93E35178-A735-49F6-A454-96FC89D78A1B}"/>
    <dataValidation allowBlank="1" showInputMessage="1" showErrorMessage="1" prompt="The FQDN or EPG of the device/domain that initiates the connection." sqref="F12" xr:uid="{7DF31236-82D1-44EA-9EA8-53FFD348AD96}"/>
    <dataValidation allowBlank="1" showInputMessage="1" showErrorMessage="1" prompt="Global Protect VPN only: which MS AD group needs access." sqref="I12" xr:uid="{EA3C8F59-484F-4040-BEB8-BF42E175AD77}"/>
    <dataValidation allowBlank="1" showInputMessage="1" showErrorMessage="1" prompt="The FQDN or EPG of the device/domain that the connection is pointed to." sqref="L12" xr:uid="{5D309EFD-8363-4156-82AC-902F9663E75F}"/>
    <dataValidation allowBlank="1" showInputMessage="1" showErrorMessage="1" prompt="What are the service port(s) of the application? Max 5 ports per rule." sqref="P12" xr:uid="{36F83880-B77F-4933-B484-9C6008FF6AFD}"/>
    <dataValidation allowBlank="1" showInputMessage="1" showErrorMessage="1" prompt="Wie is de leverancier dan wel fabrikant van deze applicatie." sqref="S12" xr:uid="{869FF4A6-ECF5-45AE-BB41-39027492D4A4}"/>
    <dataValidation allowBlank="1" showInputMessage="1" showErrorMessage="1" prompt="Beknopte omschrijving van deze regel." sqref="T12" xr:uid="{05D78743-AFE7-4DF3-BBAE-07ACA931BC77}"/>
    <dataValidation allowBlank="1" showInputMessage="1" showErrorMessage="1" prompt="Transport protocol: TCP or UDP" sqref="O12" xr:uid="{02B01003-D02E-4898-8BE8-838A7246DACD}"/>
    <dataValidation allowBlank="1" showInputMessage="1" showErrorMessage="1" prompt="The Source IP-address(es) that initiates the connection." sqref="E12" xr:uid="{5B21A768-D762-43E0-A87A-0DA013F7AF0F}"/>
    <dataValidation allowBlank="1" showInputMessage="1" showErrorMessage="1" prompt="The destination IP-address(es) of this connection." sqref="K12" xr:uid="{644E4CC5-0C35-4F4F-820F-64A513867B89}"/>
    <dataValidation allowBlank="1" showInputMessage="1" showErrorMessage="1" prompt="Source Network Zone (Optional)" sqref="G12" xr:uid="{39982ABB-0757-49B9-A0ED-C52B486CA2A5}"/>
    <dataValidation allowBlank="1" showInputMessage="1" showErrorMessage="1" prompt="Destination Network Zone" sqref="N12" xr:uid="{807BD8A9-3806-438C-9985-1876D92954AC}"/>
    <dataValidation allowBlank="1" showInputMessage="1" showErrorMessage="1" prompt="Is this rule temporary or persistent?" sqref="R12" xr:uid="{DA27E1D6-701D-48F5-BC75-407FA578AE3D}"/>
    <dataValidation allowBlank="1" showInputMessage="1" showErrorMessage="1" prompt="Click on a cell for more information" sqref="I2:J7" xr:uid="{070FBB61-F037-4E37-AA03-AC5D52CAC5C9}"/>
    <dataValidation allowBlank="1" showInputMessage="1" showErrorMessage="1" prompt="Used by the Servicedesk team only!" sqref="U11:V11" xr:uid="{67B644D3-7D5F-42FD-AB76-2D9752357913}"/>
    <dataValidation allowBlank="1" showInputMessage="1" showErrorMessage="1" prompt="Use this textbox below to add additional information (context) to this firewall change request." sqref="B31" xr:uid="{C977155D-5C49-472C-90B8-A7DE494D5FCF}"/>
    <dataValidation allowBlank="1" showInputMessage="1" showErrorMessage="1" prompt="Traffic allow or deny?" sqref="Q12" xr:uid="{D09CDA75-3C18-4EA3-B738-AFB84EE542F9}"/>
    <dataValidation allowBlank="1" showInputMessage="1" showErrorMessage="1" prompt="Destination Network Zone (Optional)" sqref="M12" xr:uid="{D25FDE00-B766-4441-86E7-E1BFB64EA23F}"/>
    <dataValidation type="whole" errorStyle="warning" allowBlank="1" showErrorMessage="1" errorTitle="Warning" error="Single Portnumber or Portrange (x-y)." sqref="P14:P28" xr:uid="{26290078-CD22-4E55-8BB9-94F7A923F82C}">
      <formula1>1</formula1>
      <formula2>65535</formula2>
    </dataValidation>
    <dataValidation type="decimal" errorStyle="warning" allowBlank="1" showErrorMessage="1" errorTitle="Warning" error="Please enter a single Portnumber or Portrange (x-y)." sqref="P13" xr:uid="{FB587E76-80F7-45CB-95D5-E606324D09EA}">
      <formula1>1</formula1>
      <formula2>65535</formula2>
    </dataValidation>
    <dataValidation allowBlank="1" showInputMessage="1" showErrorMessage="1" prompt="Understandable description of this rule." sqref="C12" xr:uid="{CAC6BA0A-CB62-40D5-9E5E-7CFA2365B051}"/>
    <dataValidation allowBlank="1" showInputMessage="1" showErrorMessage="1" prompt="The CI number of the application that is reached." sqref="J12" xr:uid="{E7B29978-4833-4310-91E2-22BBECE3E31D}"/>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xWindow="673" yWindow="359" count="7">
        <x14:dataValidation type="list" allowBlank="1" showInputMessage="1" showErrorMessage="1" xr:uid="{3F306E92-FA09-4D15-A6E9-BBDC739B12FB}">
          <x14:formula1>
            <xm:f>Content!$B$9:$B$18</xm:f>
          </x14:formula1>
          <xm:sqref>S13:S28</xm:sqref>
        </x14:dataValidation>
        <x14:dataValidation type="list" allowBlank="1" showInputMessage="1" showErrorMessage="1" xr:uid="{247D9603-44D6-4050-88E8-F72E78C1EC24}">
          <x14:formula1>
            <xm:f>Content!$D$17:$D$20</xm:f>
          </x14:formula1>
          <xm:sqref>O13</xm:sqref>
        </x14:dataValidation>
        <x14:dataValidation type="list" allowBlank="1" showInputMessage="1" showErrorMessage="1" xr:uid="{C455FFDB-5C8B-4F88-9927-3C6CC169A3B8}">
          <x14:formula1>
            <xm:f>Content!$D$12:$D$13</xm:f>
          </x14:formula1>
          <xm:sqref>R13:R28</xm:sqref>
        </x14:dataValidation>
        <x14:dataValidation type="list" allowBlank="1" showInputMessage="1" showErrorMessage="1" xr:uid="{6C601740-0E2F-4124-AA80-509444165BE0}">
          <x14:formula1>
            <xm:f>Content!$F$3:$F$13</xm:f>
          </x14:formula1>
          <xm:sqref>G13:G28 M13:M28</xm:sqref>
        </x14:dataValidation>
        <x14:dataValidation type="list" allowBlank="1" showInputMessage="1" showErrorMessage="1" xr:uid="{BA36F94E-A3CE-41A1-999F-7639E602BBB2}">
          <x14:formula1>
            <xm:f>Content!$A$9:$A$40</xm:f>
          </x14:formula1>
          <xm:sqref>N13:N28</xm:sqref>
        </x14:dataValidation>
        <x14:dataValidation type="list" allowBlank="1" showInputMessage="1" showErrorMessage="1" xr:uid="{88407BA1-9F27-4E6F-AF3E-F7B39B1A3DEE}">
          <x14:formula1>
            <xm:f>Content!$D$9:$D$10</xm:f>
          </x14:formula1>
          <xm:sqref>Q13:Q28</xm:sqref>
        </x14:dataValidation>
        <x14:dataValidation type="list" allowBlank="1" showInputMessage="1" showErrorMessage="1" errorTitle="Warning" error="Please select the right protocol from the dropdown list." xr:uid="{6A0CB0F0-97F9-4D8F-98C6-8DC5C91BC7CF}">
          <x14:formula1>
            <xm:f>Content!$D$17:$D$20</xm:f>
          </x14:formula1>
          <xm:sqref>O14:O28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FE6A-CF4D-4CF7-BB60-C3FB563024C3}">
  <dimension ref="A1:BI110"/>
  <sheetViews>
    <sheetView tabSelected="1" zoomScale="85" zoomScaleNormal="85" workbookViewId="0"/>
  </sheetViews>
  <sheetFormatPr defaultColWidth="0" defaultRowHeight="15.75" customHeight="1" zeroHeight="1" x14ac:dyDescent="0.35"/>
  <cols>
    <col min="1" max="1" width="8.5546875" style="11" customWidth="1"/>
    <col min="2" max="2" width="6.33203125" style="11" customWidth="1"/>
    <col min="3" max="3" width="43.33203125" style="11" customWidth="1"/>
    <col min="4" max="4" width="16.109375" style="11" customWidth="1"/>
    <col min="5" max="5" width="30.88671875" style="11" customWidth="1"/>
    <col min="6" max="6" width="29" style="11" customWidth="1"/>
    <col min="7" max="7" width="31.33203125" style="11" customWidth="1"/>
    <col min="8" max="8" width="6.88671875" style="11" hidden="1" customWidth="1"/>
    <col min="9" max="9" width="33" style="11" bestFit="1" customWidth="1"/>
    <col min="10" max="10" width="17.44140625" style="11" customWidth="1"/>
    <col min="11" max="11" width="29.33203125" style="11" customWidth="1"/>
    <col min="12" max="12" width="30.5546875" style="11" customWidth="1"/>
    <col min="13" max="13" width="32.5546875" style="11" customWidth="1"/>
    <col min="14" max="14" width="29.44140625" style="12" bestFit="1" customWidth="1"/>
    <col min="15" max="15" width="10.6640625" style="12" customWidth="1"/>
    <col min="16" max="16" width="16.6640625" style="12" customWidth="1"/>
    <col min="17" max="17" width="10.6640625" style="12" customWidth="1"/>
    <col min="18" max="18" width="15.88671875" style="12" bestFit="1" customWidth="1"/>
    <col min="19" max="19" width="21.33203125" style="12" hidden="1" customWidth="1"/>
    <col min="20" max="20" width="56.5546875" style="12" hidden="1" customWidth="1"/>
    <col min="21" max="21" width="26" style="12" customWidth="1"/>
    <col min="22" max="22" width="27.33203125" style="12" customWidth="1"/>
    <col min="23" max="23" width="8.5546875" style="11" customWidth="1"/>
    <col min="24" max="61" width="0" style="11" hidden="1" customWidth="1"/>
    <col min="62" max="16384" width="9.109375" style="11" hidden="1"/>
  </cols>
  <sheetData>
    <row r="1" spans="1:23" s="12" customFormat="1" ht="15" customHeight="1" x14ac:dyDescent="0.7">
      <c r="A1" s="18"/>
      <c r="B1" s="31"/>
      <c r="C1" s="32"/>
      <c r="D1" s="32"/>
      <c r="E1" s="18"/>
      <c r="F1" s="18"/>
      <c r="G1" s="18"/>
      <c r="H1" s="18"/>
      <c r="I1" s="18"/>
      <c r="J1" s="18"/>
      <c r="K1" s="18"/>
      <c r="L1" s="18"/>
      <c r="M1" s="18"/>
      <c r="N1" s="18"/>
      <c r="O1" s="18"/>
      <c r="P1" s="18"/>
      <c r="Q1" s="18"/>
      <c r="R1" s="18"/>
      <c r="S1" s="18"/>
      <c r="T1" s="18"/>
      <c r="U1" s="18"/>
      <c r="V1" s="18"/>
      <c r="W1" s="18"/>
    </row>
    <row r="2" spans="1:23" s="12" customFormat="1" ht="15" x14ac:dyDescent="0.35">
      <c r="A2" s="18"/>
      <c r="B2" s="33"/>
      <c r="C2" s="18"/>
      <c r="D2" s="18"/>
      <c r="E2" s="18"/>
      <c r="F2" s="18"/>
      <c r="G2" s="18"/>
      <c r="H2" s="18"/>
      <c r="I2" s="205"/>
      <c r="J2" s="19"/>
      <c r="K2" s="18"/>
      <c r="L2" s="18"/>
      <c r="M2" s="18"/>
      <c r="N2" s="18"/>
      <c r="O2" s="18"/>
      <c r="P2" s="18"/>
      <c r="Q2" s="18"/>
      <c r="R2" s="18"/>
      <c r="S2" s="18"/>
      <c r="T2" s="18"/>
      <c r="U2" s="18"/>
      <c r="V2" s="18"/>
      <c r="W2" s="18"/>
    </row>
    <row r="3" spans="1:23" s="12" customFormat="1" ht="15" x14ac:dyDescent="0.35">
      <c r="A3" s="18"/>
      <c r="B3" s="33"/>
      <c r="C3" s="18"/>
      <c r="D3" s="18"/>
      <c r="E3" s="18"/>
      <c r="F3" s="18"/>
      <c r="G3" s="18"/>
      <c r="H3" s="18"/>
      <c r="I3" s="205"/>
      <c r="J3" s="19"/>
      <c r="K3" s="18"/>
      <c r="L3" s="18"/>
      <c r="M3" s="18"/>
      <c r="N3" s="18"/>
      <c r="O3" s="18"/>
      <c r="P3" s="18"/>
      <c r="Q3" s="18"/>
      <c r="R3" s="18"/>
      <c r="S3" s="18"/>
      <c r="T3" s="18"/>
      <c r="U3" s="18"/>
      <c r="V3" s="18"/>
      <c r="W3" s="18"/>
    </row>
    <row r="4" spans="1:23" s="12" customFormat="1" ht="15" x14ac:dyDescent="0.35">
      <c r="A4" s="18"/>
      <c r="B4" s="33"/>
      <c r="C4" s="18"/>
      <c r="D4" s="18"/>
      <c r="E4" s="18"/>
      <c r="F4" s="18"/>
      <c r="G4" s="18"/>
      <c r="H4" s="18"/>
      <c r="I4" s="205"/>
      <c r="J4" s="19"/>
      <c r="K4" s="18"/>
      <c r="L4" s="18"/>
      <c r="M4" s="18"/>
      <c r="N4" s="18"/>
      <c r="O4" s="18"/>
      <c r="P4" s="18"/>
      <c r="Q4" s="18"/>
      <c r="R4" s="18"/>
      <c r="S4" s="18"/>
      <c r="T4" s="18"/>
      <c r="U4" s="18"/>
      <c r="V4" s="18"/>
      <c r="W4" s="18"/>
    </row>
    <row r="5" spans="1:23" s="12" customFormat="1" ht="15" x14ac:dyDescent="0.35">
      <c r="A5" s="18"/>
      <c r="B5" s="33"/>
      <c r="C5" s="18"/>
      <c r="D5" s="18"/>
      <c r="E5" s="18"/>
      <c r="F5" s="18"/>
      <c r="G5" s="18"/>
      <c r="H5" s="18"/>
      <c r="I5" s="205"/>
      <c r="J5" s="19"/>
      <c r="K5" s="18"/>
      <c r="L5" s="18"/>
      <c r="M5" s="18"/>
      <c r="N5" s="18"/>
      <c r="O5" s="18"/>
      <c r="P5" s="18"/>
      <c r="Q5" s="18"/>
      <c r="R5" s="18"/>
      <c r="S5" s="18"/>
      <c r="T5" s="18"/>
      <c r="U5" s="18"/>
      <c r="V5" s="18"/>
      <c r="W5" s="18"/>
    </row>
    <row r="6" spans="1:23" s="12" customFormat="1" ht="15" x14ac:dyDescent="0.35">
      <c r="A6" s="18"/>
      <c r="B6" s="33"/>
      <c r="C6" s="18"/>
      <c r="D6" s="18"/>
      <c r="E6" s="18"/>
      <c r="F6" s="18"/>
      <c r="G6" s="18"/>
      <c r="H6" s="18"/>
      <c r="I6" s="205"/>
      <c r="J6" s="19"/>
      <c r="K6" s="18"/>
      <c r="L6" s="18"/>
      <c r="M6" s="18"/>
      <c r="N6" s="18"/>
      <c r="O6" s="18"/>
      <c r="P6" s="18"/>
      <c r="Q6" s="18"/>
      <c r="R6" s="18"/>
      <c r="S6" s="18"/>
      <c r="T6" s="18"/>
      <c r="U6" s="18"/>
      <c r="V6" s="18"/>
      <c r="W6" s="18"/>
    </row>
    <row r="7" spans="1:23" s="12" customFormat="1" ht="15.6" thickBot="1" x14ac:dyDescent="0.4">
      <c r="A7" s="18"/>
      <c r="B7" s="33"/>
      <c r="C7" s="18"/>
      <c r="D7" s="18"/>
      <c r="E7" s="18"/>
      <c r="F7" s="18"/>
      <c r="G7" s="18"/>
      <c r="H7" s="18"/>
      <c r="I7" s="205"/>
      <c r="J7" s="19"/>
      <c r="K7" s="18"/>
      <c r="L7" s="18"/>
      <c r="M7" s="18"/>
      <c r="N7" s="18"/>
      <c r="O7" s="18"/>
      <c r="P7" s="18"/>
      <c r="Q7" s="18"/>
      <c r="R7" s="18"/>
      <c r="S7" s="18"/>
      <c r="T7" s="18"/>
      <c r="U7" s="18"/>
      <c r="V7" s="18"/>
      <c r="W7" s="18"/>
    </row>
    <row r="8" spans="1:23" s="12" customFormat="1" ht="16.2" thickTop="1" thickBot="1" x14ac:dyDescent="0.4">
      <c r="A8" s="18"/>
      <c r="B8" s="33"/>
      <c r="C8" s="18"/>
      <c r="D8" s="18"/>
      <c r="E8" s="123" t="s">
        <v>86</v>
      </c>
      <c r="F8" s="18"/>
      <c r="G8" s="18"/>
      <c r="H8" s="18"/>
      <c r="I8" s="18"/>
      <c r="J8" s="18"/>
      <c r="K8" s="18"/>
      <c r="L8" s="18"/>
      <c r="M8" s="18"/>
      <c r="N8" s="18"/>
      <c r="O8" s="18"/>
      <c r="P8" s="18"/>
      <c r="Q8" s="18"/>
      <c r="R8" s="18"/>
      <c r="S8" s="18"/>
      <c r="T8" s="18"/>
      <c r="U8" s="18"/>
      <c r="V8" s="18"/>
      <c r="W8" s="18"/>
    </row>
    <row r="9" spans="1:23" s="12" customFormat="1" ht="15.6" thickTop="1" x14ac:dyDescent="0.35">
      <c r="A9" s="18"/>
      <c r="B9" s="33"/>
      <c r="C9" s="18"/>
      <c r="D9" s="18"/>
      <c r="E9" s="18"/>
      <c r="F9" s="18"/>
      <c r="G9" s="18"/>
      <c r="H9" s="18"/>
      <c r="I9" s="18"/>
      <c r="J9" s="18"/>
      <c r="K9" s="18"/>
      <c r="L9" s="18"/>
      <c r="M9" s="18"/>
      <c r="N9" s="18"/>
      <c r="O9" s="18"/>
      <c r="P9" s="18"/>
      <c r="Q9" s="18"/>
      <c r="R9" s="18"/>
      <c r="S9" s="18"/>
      <c r="T9" s="18"/>
      <c r="U9" s="18"/>
      <c r="V9" s="18"/>
      <c r="W9" s="18"/>
    </row>
    <row r="10" spans="1:23" s="12" customFormat="1" ht="15.6" thickBot="1" x14ac:dyDescent="0.4">
      <c r="A10" s="18"/>
      <c r="B10" s="33"/>
      <c r="C10" s="18"/>
      <c r="D10" s="18"/>
      <c r="E10" s="18"/>
      <c r="F10" s="18"/>
      <c r="G10" s="18"/>
      <c r="H10" s="18"/>
      <c r="I10" s="18"/>
      <c r="J10" s="18"/>
      <c r="K10" s="18"/>
      <c r="L10" s="18"/>
      <c r="M10" s="18"/>
      <c r="N10" s="18"/>
      <c r="O10" s="18"/>
      <c r="P10" s="18"/>
      <c r="Q10" s="18"/>
      <c r="R10" s="18"/>
      <c r="S10" s="18"/>
      <c r="T10" s="18"/>
      <c r="U10" s="18"/>
      <c r="V10" s="18"/>
      <c r="W10" s="18"/>
    </row>
    <row r="11" spans="1:23" ht="15.6" thickBot="1" x14ac:dyDescent="0.4">
      <c r="A11" s="18"/>
      <c r="B11" s="22"/>
      <c r="C11" s="22"/>
      <c r="D11" s="182"/>
      <c r="E11" s="203" t="s">
        <v>87</v>
      </c>
      <c r="F11" s="203"/>
      <c r="G11" s="203"/>
      <c r="H11" s="203"/>
      <c r="I11" s="203"/>
      <c r="J11" s="176"/>
      <c r="K11" s="203" t="s">
        <v>88</v>
      </c>
      <c r="L11" s="203"/>
      <c r="M11" s="204"/>
      <c r="N11" s="18"/>
      <c r="O11" s="18"/>
      <c r="P11" s="18"/>
      <c r="Q11" s="18"/>
      <c r="R11" s="22"/>
      <c r="S11" s="22"/>
      <c r="T11" s="22"/>
      <c r="U11" s="201" t="s">
        <v>89</v>
      </c>
      <c r="V11" s="202"/>
      <c r="W11" s="18"/>
    </row>
    <row r="12" spans="1:23" ht="15.6" thickBot="1" x14ac:dyDescent="0.4">
      <c r="A12" s="18"/>
      <c r="B12" s="68" t="s">
        <v>90</v>
      </c>
      <c r="C12" s="70" t="s">
        <v>6</v>
      </c>
      <c r="D12" s="181" t="s">
        <v>91</v>
      </c>
      <c r="E12" s="74" t="s">
        <v>92</v>
      </c>
      <c r="F12" s="75" t="s">
        <v>93</v>
      </c>
      <c r="G12" s="179" t="s">
        <v>94</v>
      </c>
      <c r="H12" s="180"/>
      <c r="I12" s="74" t="s">
        <v>95</v>
      </c>
      <c r="J12" s="74" t="s">
        <v>96</v>
      </c>
      <c r="K12" s="74" t="s">
        <v>97</v>
      </c>
      <c r="L12" s="75" t="s">
        <v>93</v>
      </c>
      <c r="M12" s="76" t="s">
        <v>94</v>
      </c>
      <c r="N12" s="74" t="s">
        <v>30</v>
      </c>
      <c r="O12" s="178" t="s">
        <v>98</v>
      </c>
      <c r="P12" s="186" t="s">
        <v>99</v>
      </c>
      <c r="Q12" s="187" t="s">
        <v>100</v>
      </c>
      <c r="R12" s="186" t="s">
        <v>101</v>
      </c>
      <c r="S12" s="35" t="s">
        <v>102</v>
      </c>
      <c r="T12" s="34" t="s">
        <v>103</v>
      </c>
      <c r="U12" s="129" t="s">
        <v>104</v>
      </c>
      <c r="V12" s="130" t="s">
        <v>105</v>
      </c>
      <c r="W12" s="18"/>
    </row>
    <row r="13" spans="1:23" ht="15" x14ac:dyDescent="0.35">
      <c r="A13" s="18"/>
      <c r="B13" s="165" t="s">
        <v>106</v>
      </c>
      <c r="C13" s="136" t="s">
        <v>107</v>
      </c>
      <c r="D13" s="138">
        <v>123456</v>
      </c>
      <c r="E13" s="137" t="s">
        <v>108</v>
      </c>
      <c r="F13" s="138" t="s">
        <v>109</v>
      </c>
      <c r="G13" s="139" t="s">
        <v>110</v>
      </c>
      <c r="H13" s="140"/>
      <c r="I13" s="141" t="s">
        <v>23</v>
      </c>
      <c r="J13" s="138">
        <v>567890</v>
      </c>
      <c r="K13" s="177" t="s">
        <v>111</v>
      </c>
      <c r="L13" s="138" t="s">
        <v>112</v>
      </c>
      <c r="M13" s="139" t="s">
        <v>113</v>
      </c>
      <c r="N13" s="143" t="s">
        <v>114</v>
      </c>
      <c r="O13" s="183" t="s">
        <v>115</v>
      </c>
      <c r="P13" s="183">
        <v>53</v>
      </c>
      <c r="Q13" s="184" t="s">
        <v>116</v>
      </c>
      <c r="R13" s="185" t="s">
        <v>117</v>
      </c>
      <c r="S13" s="147" t="s">
        <v>118</v>
      </c>
      <c r="T13" s="148" t="s">
        <v>119</v>
      </c>
      <c r="U13" s="149" t="str" cm="1">
        <f t="array" ref="U13">IF(E13="","",IF(OR(ISNUMBER(SEARCH({"10.205.37";"10.205.38";"10.205.69";"10.205.31";"10.205.28";"10.205.27"},E13))),"Platform-Runtime and Azure OPS",
IF(OR(ISNUMBER(SEARCH({"10.229.16";"10.229.17";"10.229.18";"10.229.19";"10.229.20";"10.229.21";"10.229.25";"10.229.26"},E13))),"SDDC",
IF(OR(ISNUMBER(SEARCH({"10.220";"10.221";"10.222";"10.223";"10.224";"10.225";"10.229";"185.130.242"},E13))),"SDDC",
IF(OR(ISNUMBER(SEARCH({"10.226";"10.227";"10.205"},E13))),"Azure OPS and SDDC",
IF(AND(NOT(ISNUMBER(SEARCH({"10.220";"10.221";"10.222";"10.223";"10.224";"10.225";"10.229";"10.226";"10.227";"10.205";"10.205.37";"10.205.38";"10.205.69";"10.205.31";"10.205.28";"10.205.27";"10.229.16";"10.229.17";"10.229.18";"10.229.19";"10.229.20";"10.229.21";"10.229.25";"10.229.26"},E13)))),"SCT SI - OCD",""))))))</f>
        <v>SCT SI - OCD</v>
      </c>
      <c r="V13" s="150" t="str" cm="1">
        <f t="array" ref="V13">IF(K13="","",IF(OR(ISNUMBER(SEARCH({"10.205.37";"10.205.38";"10.205.69";"10.205.31";"10.205.28";"10.205.27"},K13))),"Platform-Runtime and Azure OPS",
IF(OR(ISNUMBER(SEARCH({"10.229.16";"10.229.17";"10.229.18";"10.229.19";"10.229.20";"10.229.21";"10.229.25";"10.229.26"},K13))),"SDDC",
IF(OR(ISNUMBER(SEARCH({"10.220";"10.221";"10.222";"10.223";"10.224";"10.225";"10.229"},K13))),"SDDC",
IF(OR(ISNUMBER(SEARCH({"10.226";"10.227";"10.205"},K13))),"Azure OPS and SDDC",
IF(AND(NOT(ISNUMBER(SEARCH({"10.220";"10.221";"10.222";"10.223";"10.224";"10.225";"10.229";"10.226";"10.227";"10.205";"10.205.37";"10.205.38";"10.205.69";"10.205.31";"10.205.28";"10.205.27";"10.229.16";"10.229.17";"10.229.18";"10.229.19";"10.229.20";"10.229.21";"10.229.25";"10.229.26"},K13)))),"SCT SI - OCD",""))))))</f>
        <v>SCT SI - OCD</v>
      </c>
      <c r="W13" s="18"/>
    </row>
    <row r="14" spans="1:23" ht="15" x14ac:dyDescent="0.35">
      <c r="A14" s="18"/>
      <c r="B14" s="78">
        <v>16</v>
      </c>
      <c r="C14" s="171" t="s">
        <v>295</v>
      </c>
      <c r="D14" s="37">
        <v>864228</v>
      </c>
      <c r="E14" s="38" t="s">
        <v>289</v>
      </c>
      <c r="F14" s="39"/>
      <c r="G14" s="36"/>
      <c r="H14" s="36"/>
      <c r="I14" s="36"/>
      <c r="J14" s="188">
        <v>290139</v>
      </c>
      <c r="K14" s="38" t="s">
        <v>281</v>
      </c>
      <c r="L14" s="39" t="s">
        <v>302</v>
      </c>
      <c r="M14" s="36"/>
      <c r="N14" s="36" t="s">
        <v>202</v>
      </c>
      <c r="O14" s="36" t="s">
        <v>217</v>
      </c>
      <c r="P14" s="159"/>
      <c r="Q14" s="40" t="s">
        <v>116</v>
      </c>
      <c r="R14" s="41" t="s">
        <v>117</v>
      </c>
      <c r="S14" s="42"/>
      <c r="T14" s="43"/>
      <c r="U14" s="131" t="str" cm="1">
        <f t="array" ref="U14">IF(E14="","",IF(OR(ISNUMBER(SEARCH({"10.205.37";"10.205.38";"10.205.69";"10.205.31";"10.205.28";"10.205.27"},E14))),"Platform-Runtime and Azure OPS",
IF(OR(ISNUMBER(SEARCH({"10.229.16";"10.229.17";"10.229.18";"10.229.19";"10.229.20";"10.229.21";"10.229.25";"10.229.26"},E14))),"SDDC",
IF(OR(ISNUMBER(SEARCH({"10.220";"10.221";"10.222";"10.223";"10.224";"10.225";"10.229";"185.130.242"},E14))),"SDDC",
IF(OR(ISNUMBER(SEARCH({"10.226";"10.227";"10.205"},E14))),"Azure OPS and SDDC",
IF(AND(NOT(ISNUMBER(SEARCH({"10.220";"10.221";"10.222";"10.223";"10.224";"10.225";"10.229";"10.226";"10.227";"10.205";"10.205.37";"10.205.38";"10.205.69";"10.205.31";"10.205.28";"10.205.27";"10.229.16";"10.229.17";"10.229.18";"10.229.19";"10.229.20";"10.229.21";"10.229.25";"10.229.26"},E14)))),"SCT SI - OCD",""))))))</f>
        <v>SCT SI - OCD</v>
      </c>
      <c r="V14" s="127" t="str" cm="1">
        <f t="array" ref="V14">IF(K14="","",IF(OR(ISNUMBER(SEARCH({"10.205.37";"10.205.38";"10.205.69";"10.205.31";"10.205.28";"10.205.27"},K14))),"Platform-Runtime and Azure OPS",
IF(OR(ISNUMBER(SEARCH({"10.229.16";"10.229.17";"10.229.18";"10.229.19";"10.229.20";"10.229.21";"10.229.25";"10.229.26"},K14))),"SDDC",
IF(OR(ISNUMBER(SEARCH({"10.220";"10.221";"10.222";"10.223";"10.224";"10.225";"10.229";"185.130.242"},K14))),"SDDC",
IF(OR(ISNUMBER(SEARCH({"10.226";"10.227";"10.205"},K14))),"Azure OPS and SDDC",
IF(AND(NOT(ISNUMBER(SEARCH({"10.220";"10.221";"10.222";"10.223";"10.224";"10.225";"10.229";"10.226";"10.227";"10.205";"10.205.37";"10.205.38";"10.205.69";"10.205.31";"10.205.28";"10.205.27";"10.229.16";"10.229.17";"10.229.18";"10.229.19";"10.229.20";"10.229.21";"10.229.25";"10.229.26"},K14)))),"SCT SI - OCD",""))))))</f>
        <v>SDDC</v>
      </c>
      <c r="W14" s="18"/>
    </row>
    <row r="15" spans="1:23" ht="15" x14ac:dyDescent="0.35">
      <c r="A15" s="18"/>
      <c r="B15" s="45">
        <v>17</v>
      </c>
      <c r="C15" s="170" t="s">
        <v>295</v>
      </c>
      <c r="D15" s="47">
        <v>864228</v>
      </c>
      <c r="E15" s="49" t="s">
        <v>290</v>
      </c>
      <c r="F15" s="36"/>
      <c r="G15" s="36"/>
      <c r="H15" s="36"/>
      <c r="I15" s="46"/>
      <c r="J15" s="170">
        <v>290139</v>
      </c>
      <c r="K15" s="49" t="s">
        <v>281</v>
      </c>
      <c r="L15" s="36" t="s">
        <v>302</v>
      </c>
      <c r="M15" s="36"/>
      <c r="N15" s="36" t="s">
        <v>202</v>
      </c>
      <c r="O15" s="36" t="s">
        <v>217</v>
      </c>
      <c r="P15" s="159"/>
      <c r="Q15" s="40" t="s">
        <v>116</v>
      </c>
      <c r="R15" s="41" t="s">
        <v>117</v>
      </c>
      <c r="S15" s="42"/>
      <c r="T15" s="50"/>
      <c r="U15" s="131" t="str" cm="1">
        <f t="array" ref="U15">IF(E15="","",IF(OR(ISNUMBER(SEARCH({"10.205.37";"10.205.38";"10.205.69";"10.205.31";"10.205.28";"10.205.27"},E15))),"Platform-Runtime and Azure OPS",
IF(OR(ISNUMBER(SEARCH({"10.229.16";"10.229.17";"10.229.18";"10.229.19";"10.229.20";"10.229.21";"10.229.25";"10.229.26"},E15))),"SDDC",
IF(OR(ISNUMBER(SEARCH({"10.220";"10.221";"10.222";"10.223";"10.224";"10.225";"10.229";"185.130.242"},E15))),"SDDC",
IF(OR(ISNUMBER(SEARCH({"10.226";"10.227";"10.205"},E15))),"Azure OPS and SDDC",
IF(AND(NOT(ISNUMBER(SEARCH({"10.220";"10.221";"10.222";"10.223";"10.224";"10.225";"10.229";"10.226";"10.227";"10.205";"10.205.37";"10.205.38";"10.205.69";"10.205.31";"10.205.28";"10.205.27";"10.229.16";"10.229.17";"10.229.18";"10.229.19";"10.229.20";"10.229.21";"10.229.25";"10.229.26"},E15)))),"SCT SI - OCD",""))))))</f>
        <v>SCT SI - OCD</v>
      </c>
      <c r="V15" s="127" t="str" cm="1">
        <f t="array" ref="V15">IF(K15="","",IF(OR(ISNUMBER(SEARCH({"10.205.37";"10.205.38";"10.205.69";"10.205.31";"10.205.28";"10.205.27"},K15))),"Platform-Runtime and Azure OPS",
IF(OR(ISNUMBER(SEARCH({"10.229.16";"10.229.17";"10.229.18";"10.229.19";"10.229.20";"10.229.21";"10.229.25";"10.229.26"},K15))),"SDDC",
IF(OR(ISNUMBER(SEARCH({"10.220";"10.221";"10.222";"10.223";"10.224";"10.225";"10.229";"185.130.242"},K15))),"SDDC",
IF(OR(ISNUMBER(SEARCH({"10.226";"10.227";"10.205"},K15))),"Azure OPS and SDDC",
IF(AND(NOT(ISNUMBER(SEARCH({"10.220";"10.221";"10.222";"10.223";"10.224";"10.225";"10.229";"10.226";"10.227";"10.205";"10.205.37";"10.205.38";"10.205.69";"10.205.31";"10.205.28";"10.205.27";"10.229.16";"10.229.17";"10.229.18";"10.229.19";"10.229.20";"10.229.21";"10.229.25";"10.229.26"},K15)))),"SCT SI - OCD",""))))))</f>
        <v>SDDC</v>
      </c>
      <c r="W15" s="126"/>
    </row>
    <row r="16" spans="1:23" ht="15" x14ac:dyDescent="0.35">
      <c r="A16" s="18"/>
      <c r="B16" s="45">
        <v>18</v>
      </c>
      <c r="C16" s="170" t="s">
        <v>295</v>
      </c>
      <c r="D16" s="47">
        <v>864228</v>
      </c>
      <c r="E16" s="49" t="s">
        <v>291</v>
      </c>
      <c r="F16" s="46"/>
      <c r="G16" s="36"/>
      <c r="H16" s="46"/>
      <c r="I16" s="46"/>
      <c r="J16" s="170">
        <v>290139</v>
      </c>
      <c r="K16" s="49" t="s">
        <v>281</v>
      </c>
      <c r="L16" s="36" t="s">
        <v>302</v>
      </c>
      <c r="M16" s="36"/>
      <c r="N16" s="36" t="s">
        <v>202</v>
      </c>
      <c r="O16" s="36" t="s">
        <v>217</v>
      </c>
      <c r="P16" s="159"/>
      <c r="Q16" s="40" t="s">
        <v>116</v>
      </c>
      <c r="R16" s="41" t="s">
        <v>117</v>
      </c>
      <c r="S16" s="42"/>
      <c r="T16" s="50"/>
      <c r="U16" s="131" t="str" cm="1">
        <f t="array" ref="U16">IF(E16="","",IF(OR(ISNUMBER(SEARCH({"10.205.37";"10.205.38";"10.205.69";"10.205.31";"10.205.28";"10.205.27"},E16))),"Platform-Runtime and Azure OPS",
IF(OR(ISNUMBER(SEARCH({"10.229.16";"10.229.17";"10.229.18";"10.229.19";"10.229.20";"10.229.21";"10.229.25";"10.229.26"},E16))),"SDDC",
IF(OR(ISNUMBER(SEARCH({"10.220";"10.221";"10.222";"10.223";"10.224";"10.225";"10.229";"185.130.242"},E16))),"SDDC",
IF(OR(ISNUMBER(SEARCH({"10.226";"10.227";"10.205"},E16))),"Azure OPS and SDDC",
IF(AND(NOT(ISNUMBER(SEARCH({"10.220";"10.221";"10.222";"10.223";"10.224";"10.225";"10.229";"10.226";"10.227";"10.205";"10.205.37";"10.205.38";"10.205.69";"10.205.31";"10.205.28";"10.205.27";"10.229.16";"10.229.17";"10.229.18";"10.229.19";"10.229.20";"10.229.21";"10.229.25";"10.229.26"},E16)))),"SCT SI - OCD",""))))))</f>
        <v>SCT SI - OCD</v>
      </c>
      <c r="V16" s="127" t="str" cm="1">
        <f t="array" ref="V16">IF(K16="","",IF(OR(ISNUMBER(SEARCH({"10.205.37";"10.205.38";"10.205.69";"10.205.31";"10.205.28";"10.205.27"},K16))),"Platform-Runtime and Azure OPS",
IF(OR(ISNUMBER(SEARCH({"10.229.16";"10.229.17";"10.229.18";"10.229.19";"10.229.20";"10.229.21";"10.229.25";"10.229.26"},K16))),"SDDC",
IF(OR(ISNUMBER(SEARCH({"10.220";"10.221";"10.222";"10.223";"10.224";"10.225";"10.229";"185.130.242"},K16))),"SDDC",
IF(OR(ISNUMBER(SEARCH({"10.226";"10.227";"10.205"},K16))),"Azure OPS and SDDC",
IF(AND(NOT(ISNUMBER(SEARCH({"10.220";"10.221";"10.222";"10.223";"10.224";"10.225";"10.229";"10.226";"10.227";"10.205";"10.205.37";"10.205.38";"10.205.69";"10.205.31";"10.205.28";"10.205.27";"10.229.16";"10.229.17";"10.229.18";"10.229.19";"10.229.20";"10.229.21";"10.229.25";"10.229.26"},K16)))),"SCT SI - OCD",""))))))</f>
        <v>SDDC</v>
      </c>
      <c r="W16" s="126"/>
    </row>
    <row r="17" spans="1:23" ht="15" x14ac:dyDescent="0.35">
      <c r="A17" s="18"/>
      <c r="B17" s="45">
        <v>19</v>
      </c>
      <c r="C17" s="170" t="s">
        <v>295</v>
      </c>
      <c r="D17" s="47">
        <v>864228</v>
      </c>
      <c r="E17" s="49" t="s">
        <v>292</v>
      </c>
      <c r="F17" s="46"/>
      <c r="G17" s="36"/>
      <c r="H17" s="46"/>
      <c r="I17" s="46"/>
      <c r="J17" s="170">
        <v>290139</v>
      </c>
      <c r="K17" s="49" t="s">
        <v>281</v>
      </c>
      <c r="L17" s="36" t="s">
        <v>302</v>
      </c>
      <c r="M17" s="36"/>
      <c r="N17" s="36" t="s">
        <v>202</v>
      </c>
      <c r="O17" s="36" t="s">
        <v>217</v>
      </c>
      <c r="P17" s="159"/>
      <c r="Q17" s="40" t="s">
        <v>116</v>
      </c>
      <c r="R17" s="41" t="s">
        <v>117</v>
      </c>
      <c r="S17" s="42"/>
      <c r="T17" s="50"/>
      <c r="U17" s="131" t="str" cm="1">
        <f t="array" ref="U17">IF(E17="","",IF(OR(ISNUMBER(SEARCH({"10.205.37";"10.205.38";"10.205.69";"10.205.31";"10.205.28";"10.205.27"},E17))),"Platform-Runtime and Azure OPS",
IF(OR(ISNUMBER(SEARCH({"10.229.16";"10.229.17";"10.229.18";"10.229.19";"10.229.20";"10.229.21";"10.229.25";"10.229.26"},E17))),"SDDC",
IF(OR(ISNUMBER(SEARCH({"10.220";"10.221";"10.222";"10.223";"10.224";"10.225";"10.229";"185.130.242"},E17))),"SDDC",
IF(OR(ISNUMBER(SEARCH({"10.226";"10.227";"10.205"},E17))),"Azure OPS and SDDC",
IF(AND(NOT(ISNUMBER(SEARCH({"10.220";"10.221";"10.222";"10.223";"10.224";"10.225";"10.229";"10.226";"10.227";"10.205";"10.205.37";"10.205.38";"10.205.69";"10.205.31";"10.205.28";"10.205.27";"10.229.16";"10.229.17";"10.229.18";"10.229.19";"10.229.20";"10.229.21";"10.229.25";"10.229.26"},E17)))),"SCT SI - OCD",""))))))</f>
        <v>SCT SI - OCD</v>
      </c>
      <c r="V17" s="127" t="str" cm="1">
        <f t="array" ref="V17">IF(K17="","",IF(OR(ISNUMBER(SEARCH({"10.205.37";"10.205.38";"10.205.69";"10.205.31";"10.205.28";"10.205.27"},K17))),"Platform-Runtime and Azure OPS",
IF(OR(ISNUMBER(SEARCH({"10.229.16";"10.229.17";"10.229.18";"10.229.19";"10.229.20";"10.229.21";"10.229.25";"10.229.26"},K17))),"SDDC",
IF(OR(ISNUMBER(SEARCH({"10.220";"10.221";"10.222";"10.223";"10.224";"10.225";"10.229";"185.130.242"},K17))),"SDDC",
IF(OR(ISNUMBER(SEARCH({"10.226";"10.227";"10.205"},K17))),"Azure OPS and SDDC",
IF(AND(NOT(ISNUMBER(SEARCH({"10.220";"10.221";"10.222";"10.223";"10.224";"10.225";"10.229";"10.226";"10.227";"10.205";"10.205.37";"10.205.38";"10.205.69";"10.205.31";"10.205.28";"10.205.27";"10.229.16";"10.229.17";"10.229.18";"10.229.19";"10.229.20";"10.229.21";"10.229.25";"10.229.26"},K17)))),"SCT SI - OCD",""))))))</f>
        <v>SDDC</v>
      </c>
      <c r="W17" s="126"/>
    </row>
    <row r="18" spans="1:23" ht="15" x14ac:dyDescent="0.35">
      <c r="A18" s="18"/>
      <c r="B18" s="45">
        <v>20</v>
      </c>
      <c r="C18" s="170" t="s">
        <v>295</v>
      </c>
      <c r="D18" s="47">
        <v>864228</v>
      </c>
      <c r="E18" s="49" t="s">
        <v>293</v>
      </c>
      <c r="F18" s="46"/>
      <c r="G18" s="36"/>
      <c r="H18" s="46"/>
      <c r="I18" s="46"/>
      <c r="J18" s="170">
        <v>290139</v>
      </c>
      <c r="K18" s="49" t="s">
        <v>281</v>
      </c>
      <c r="L18" s="36" t="s">
        <v>302</v>
      </c>
      <c r="M18" s="36"/>
      <c r="N18" s="36" t="s">
        <v>202</v>
      </c>
      <c r="O18" s="36" t="s">
        <v>217</v>
      </c>
      <c r="P18" s="159"/>
      <c r="Q18" s="40" t="s">
        <v>116</v>
      </c>
      <c r="R18" s="41" t="s">
        <v>117</v>
      </c>
      <c r="S18" s="42"/>
      <c r="T18" s="50"/>
      <c r="U18" s="131" t="str" cm="1">
        <f t="array" ref="U18">IF(E18="","",IF(OR(ISNUMBER(SEARCH({"10.205.37";"10.205.38";"10.205.69";"10.205.31";"10.205.28";"10.205.27"},E18))),"Platform-Runtime and Azure OPS",
IF(OR(ISNUMBER(SEARCH({"10.229.16";"10.229.17";"10.229.18";"10.229.19";"10.229.20";"10.229.21";"10.229.25";"10.229.26"},E18))),"SDDC",
IF(OR(ISNUMBER(SEARCH({"10.220";"10.221";"10.222";"10.223";"10.224";"10.225";"10.229";"185.130.242"},E18))),"SDDC",
IF(OR(ISNUMBER(SEARCH({"10.226";"10.227";"10.205"},E18))),"Azure OPS and SDDC",
IF(AND(NOT(ISNUMBER(SEARCH({"10.220";"10.221";"10.222";"10.223";"10.224";"10.225";"10.229";"10.226";"10.227";"10.205";"10.205.37";"10.205.38";"10.205.69";"10.205.31";"10.205.28";"10.205.27";"10.229.16";"10.229.17";"10.229.18";"10.229.19";"10.229.20";"10.229.21";"10.229.25";"10.229.26"},E18)))),"SCT SI - OCD",""))))))</f>
        <v>SCT SI - OCD</v>
      </c>
      <c r="V18" s="127" t="str" cm="1">
        <f t="array" ref="V18">IF(K18="","",IF(OR(ISNUMBER(SEARCH({"10.205.37";"10.205.38";"10.205.69";"10.205.31";"10.205.28";"10.205.27"},K18))),"Platform-Runtime and Azure OPS",
IF(OR(ISNUMBER(SEARCH({"10.229.16";"10.229.17";"10.229.18";"10.229.19";"10.229.20";"10.229.21";"10.229.25";"10.229.26"},K18))),"SDDC",
IF(OR(ISNUMBER(SEARCH({"10.220";"10.221";"10.222";"10.223";"10.224";"10.225";"10.229";"185.130.242"},K18))),"SDDC",
IF(OR(ISNUMBER(SEARCH({"10.226";"10.227";"10.205"},K18))),"Azure OPS and SDDC",
IF(AND(NOT(ISNUMBER(SEARCH({"10.220";"10.221";"10.222";"10.223";"10.224";"10.225";"10.229";"10.226";"10.227";"10.205";"10.205.37";"10.205.38";"10.205.69";"10.205.31";"10.205.28";"10.205.27";"10.229.16";"10.229.17";"10.229.18";"10.229.19";"10.229.20";"10.229.21";"10.229.25";"10.229.26"},K18)))),"SCT SI - OCD",""))))))</f>
        <v>SDDC</v>
      </c>
      <c r="W18" s="18"/>
    </row>
    <row r="19" spans="1:23" ht="86.4" x14ac:dyDescent="0.35">
      <c r="A19" s="18"/>
      <c r="B19" s="45">
        <v>21</v>
      </c>
      <c r="C19" s="170" t="s">
        <v>296</v>
      </c>
      <c r="D19" s="47">
        <v>864228</v>
      </c>
      <c r="E19" s="49" t="s">
        <v>284</v>
      </c>
      <c r="F19" s="46"/>
      <c r="G19" s="36"/>
      <c r="H19" s="46"/>
      <c r="I19" s="46"/>
      <c r="J19" s="170">
        <v>290139</v>
      </c>
      <c r="K19" s="49" t="s">
        <v>282</v>
      </c>
      <c r="L19" s="36" t="s">
        <v>303</v>
      </c>
      <c r="M19" s="36"/>
      <c r="N19" s="36"/>
      <c r="O19" s="36" t="s">
        <v>35</v>
      </c>
      <c r="P19" s="192" t="s">
        <v>297</v>
      </c>
      <c r="Q19" s="40" t="s">
        <v>116</v>
      </c>
      <c r="R19" s="41" t="s">
        <v>117</v>
      </c>
      <c r="S19" s="42"/>
      <c r="T19" s="50"/>
      <c r="U19" s="131" t="str" cm="1">
        <f t="array" ref="U19">IF(E19="","",IF(OR(ISNUMBER(SEARCH({"10.205.37";"10.205.38";"10.205.69";"10.205.31";"10.205.28";"10.205.27"},E19))),"Platform-Runtime and Azure OPS",
IF(OR(ISNUMBER(SEARCH({"10.229.16";"10.229.17";"10.229.18";"10.229.19";"10.229.20";"10.229.21";"10.229.25";"10.229.26"},E19))),"SDDC",
IF(OR(ISNUMBER(SEARCH({"10.220";"10.221";"10.222";"10.223";"10.224";"10.225";"10.229";"185.130.242"},E19))),"SDDC",
IF(OR(ISNUMBER(SEARCH({"10.226";"10.227";"10.205"},E19))),"Azure OPS and SDDC",
IF(AND(NOT(ISNUMBER(SEARCH({"10.220";"10.221";"10.222";"10.223";"10.224";"10.225";"10.229";"10.226";"10.227";"10.205";"10.205.37";"10.205.38";"10.205.69";"10.205.31";"10.205.28";"10.205.27";"10.229.16";"10.229.17";"10.229.18";"10.229.19";"10.229.20";"10.229.21";"10.229.25";"10.229.26"},E19)))),"SCT SI - OCD",""))))))</f>
        <v>SCT SI - OCD</v>
      </c>
      <c r="V19" s="127" t="str" cm="1">
        <f t="array" ref="V19">IF(K19="","",IF(OR(ISNUMBER(SEARCH({"10.205.37";"10.205.38";"10.205.69";"10.205.31";"10.205.28";"10.205.27"},K19))),"Platform-Runtime and Azure OPS",
IF(OR(ISNUMBER(SEARCH({"10.229.16";"10.229.17";"10.229.18";"10.229.19";"10.229.20";"10.229.21";"10.229.25";"10.229.26"},K19))),"SDDC",
IF(OR(ISNUMBER(SEARCH({"10.220";"10.221";"10.222";"10.223";"10.224";"10.225";"10.229";"185.130.242"},K19))),"SDDC",
IF(OR(ISNUMBER(SEARCH({"10.226";"10.227";"10.205"},K19))),"Azure OPS and SDDC",
IF(AND(NOT(ISNUMBER(SEARCH({"10.220";"10.221";"10.222";"10.223";"10.224";"10.225";"10.229";"10.226";"10.227";"10.205";"10.205.37";"10.205.38";"10.205.69";"10.205.31";"10.205.28";"10.205.27";"10.229.16";"10.229.17";"10.229.18";"10.229.19";"10.229.20";"10.229.21";"10.229.25";"10.229.26"},K19)))),"SCT SI - OCD",""))))))</f>
        <v>SDDC</v>
      </c>
      <c r="W19" s="126"/>
    </row>
    <row r="20" spans="1:23" ht="86.4" x14ac:dyDescent="0.35">
      <c r="A20" s="18"/>
      <c r="B20" s="45">
        <v>22</v>
      </c>
      <c r="C20" s="170" t="s">
        <v>296</v>
      </c>
      <c r="D20" s="47">
        <v>864228</v>
      </c>
      <c r="E20" s="48" t="s">
        <v>285</v>
      </c>
      <c r="F20" s="46"/>
      <c r="G20" s="36"/>
      <c r="H20" s="46"/>
      <c r="I20" s="46"/>
      <c r="J20" s="170">
        <v>290139</v>
      </c>
      <c r="K20" s="49" t="s">
        <v>282</v>
      </c>
      <c r="L20" s="36" t="s">
        <v>303</v>
      </c>
      <c r="M20" s="36"/>
      <c r="N20" s="36"/>
      <c r="O20" s="36" t="s">
        <v>35</v>
      </c>
      <c r="P20" s="192" t="s">
        <v>297</v>
      </c>
      <c r="Q20" s="40" t="s">
        <v>116</v>
      </c>
      <c r="R20" s="41" t="s">
        <v>117</v>
      </c>
      <c r="S20" s="42"/>
      <c r="T20" s="50"/>
      <c r="U20" s="131" t="str" cm="1">
        <f t="array" ref="U20">IF(E20="","",IF(OR(ISNUMBER(SEARCH({"10.205.37";"10.205.38";"10.205.69";"10.205.31";"10.205.28";"10.205.27"},E20))),"Platform-Runtime and Azure OPS",
IF(OR(ISNUMBER(SEARCH({"10.229.16";"10.229.17";"10.229.18";"10.229.19";"10.229.20";"10.229.21";"10.229.25";"10.229.26"},E20))),"SDDC",
IF(OR(ISNUMBER(SEARCH({"10.220";"10.221";"10.222";"10.223";"10.224";"10.225";"10.229";"185.130.242"},E20))),"SDDC",
IF(OR(ISNUMBER(SEARCH({"10.226";"10.227";"10.205"},E20))),"Azure OPS and SDDC",
IF(AND(NOT(ISNUMBER(SEARCH({"10.220";"10.221";"10.222";"10.223";"10.224";"10.225";"10.229";"10.226";"10.227";"10.205";"10.205.37";"10.205.38";"10.205.69";"10.205.31";"10.205.28";"10.205.27";"10.229.16";"10.229.17";"10.229.18";"10.229.19";"10.229.20";"10.229.21";"10.229.25";"10.229.26"},E20)))),"SCT SI - OCD",""))))))</f>
        <v>SCT SI - OCD</v>
      </c>
      <c r="V20" s="127" t="str" cm="1">
        <f t="array" ref="V20">IF(K20="","",IF(OR(ISNUMBER(SEARCH({"10.205.37";"10.205.38";"10.205.69";"10.205.31";"10.205.28";"10.205.27"},K20))),"Platform-Runtime and Azure OPS",
IF(OR(ISNUMBER(SEARCH({"10.229.16";"10.229.17";"10.229.18";"10.229.19";"10.229.20";"10.229.21";"10.229.25";"10.229.26"},K20))),"SDDC",
IF(OR(ISNUMBER(SEARCH({"10.220";"10.221";"10.222";"10.223";"10.224";"10.225";"10.229";"185.130.242"},K20))),"SDDC",
IF(OR(ISNUMBER(SEARCH({"10.226";"10.227";"10.205"},K20))),"Azure OPS and SDDC",
IF(AND(NOT(ISNUMBER(SEARCH({"10.220";"10.221";"10.222";"10.223";"10.224";"10.225";"10.229";"10.226";"10.227";"10.205";"10.205.37";"10.205.38";"10.205.69";"10.205.31";"10.205.28";"10.205.27";"10.229.16";"10.229.17";"10.229.18";"10.229.19";"10.229.20";"10.229.21";"10.229.25";"10.229.26"},K20)))),"SCT SI - OCD",""))))))</f>
        <v>SDDC</v>
      </c>
      <c r="W20" s="18"/>
    </row>
    <row r="21" spans="1:23" ht="86.4" x14ac:dyDescent="0.35">
      <c r="A21" s="18"/>
      <c r="B21" s="45">
        <v>23</v>
      </c>
      <c r="C21" s="170" t="s">
        <v>296</v>
      </c>
      <c r="D21" s="47">
        <v>864228</v>
      </c>
      <c r="E21" s="48" t="s">
        <v>286</v>
      </c>
      <c r="F21" s="46"/>
      <c r="G21" s="36"/>
      <c r="H21" s="46"/>
      <c r="I21" s="46"/>
      <c r="J21" s="170">
        <v>290139</v>
      </c>
      <c r="K21" s="49" t="s">
        <v>282</v>
      </c>
      <c r="L21" s="36" t="s">
        <v>303</v>
      </c>
      <c r="M21" s="36"/>
      <c r="N21" s="36"/>
      <c r="O21" s="36" t="s">
        <v>35</v>
      </c>
      <c r="P21" s="192" t="s">
        <v>297</v>
      </c>
      <c r="Q21" s="40" t="s">
        <v>116</v>
      </c>
      <c r="R21" s="41" t="s">
        <v>117</v>
      </c>
      <c r="S21" s="42"/>
      <c r="T21" s="50"/>
      <c r="U21" s="131" t="str" cm="1">
        <f t="array" ref="U21">IF(E21="","",IF(OR(ISNUMBER(SEARCH({"10.205.37";"10.205.38";"10.205.69";"10.205.31";"10.205.28";"10.205.27"},E21))),"Platform-Runtime and Azure OPS",
IF(OR(ISNUMBER(SEARCH({"10.229.16";"10.229.17";"10.229.18";"10.229.19";"10.229.20";"10.229.21";"10.229.25";"10.229.26"},E21))),"SDDC",
IF(OR(ISNUMBER(SEARCH({"10.220";"10.221";"10.222";"10.223";"10.224";"10.225";"10.229";"185.130.242"},E21))),"SDDC",
IF(OR(ISNUMBER(SEARCH({"10.226";"10.227";"10.205"},E21))),"Azure OPS and SDDC",
IF(AND(NOT(ISNUMBER(SEARCH({"10.220";"10.221";"10.222";"10.223";"10.224";"10.225";"10.229";"10.226";"10.227";"10.205";"10.205.37";"10.205.38";"10.205.69";"10.205.31";"10.205.28";"10.205.27";"10.229.16";"10.229.17";"10.229.18";"10.229.19";"10.229.20";"10.229.21";"10.229.25";"10.229.26"},E21)))),"SCT SI - OCD",""))))))</f>
        <v>SCT SI - OCD</v>
      </c>
      <c r="V21" s="127" t="str" cm="1">
        <f t="array" ref="V21">IF(K21="","",IF(OR(ISNUMBER(SEARCH({"10.205.37";"10.205.38";"10.205.69";"10.205.31";"10.205.28";"10.205.27"},K21))),"Platform-Runtime and Azure OPS",
IF(OR(ISNUMBER(SEARCH({"10.229.16";"10.229.17";"10.229.18";"10.229.19";"10.229.20";"10.229.21";"10.229.25";"10.229.26"},K21))),"SDDC",
IF(OR(ISNUMBER(SEARCH({"10.220";"10.221";"10.222";"10.223";"10.224";"10.225";"10.229";"185.130.242"},K21))),"SDDC",
IF(OR(ISNUMBER(SEARCH({"10.226";"10.227";"10.205"},K21))),"Azure OPS and SDDC",
IF(AND(NOT(ISNUMBER(SEARCH({"10.220";"10.221";"10.222";"10.223";"10.224";"10.225";"10.229";"10.226";"10.227";"10.205";"10.205.37";"10.205.38";"10.205.69";"10.205.31";"10.205.28";"10.205.27";"10.229.16";"10.229.17";"10.229.18";"10.229.19";"10.229.20";"10.229.21";"10.229.25";"10.229.26"},K21)))),"SCT SI - OCD",""))))))</f>
        <v>SDDC</v>
      </c>
      <c r="W21" s="126"/>
    </row>
    <row r="22" spans="1:23" ht="86.4" x14ac:dyDescent="0.35">
      <c r="A22" s="18"/>
      <c r="B22" s="45">
        <v>24</v>
      </c>
      <c r="C22" s="170" t="s">
        <v>296</v>
      </c>
      <c r="D22" s="47">
        <v>864228</v>
      </c>
      <c r="E22" s="48" t="s">
        <v>287</v>
      </c>
      <c r="F22" s="46"/>
      <c r="G22" s="36"/>
      <c r="H22" s="46"/>
      <c r="I22" s="46"/>
      <c r="J22" s="170">
        <v>290139</v>
      </c>
      <c r="K22" s="49" t="s">
        <v>282</v>
      </c>
      <c r="L22" s="36" t="s">
        <v>303</v>
      </c>
      <c r="M22" s="36"/>
      <c r="N22" s="36"/>
      <c r="O22" s="36" t="s">
        <v>35</v>
      </c>
      <c r="P22" s="192" t="s">
        <v>297</v>
      </c>
      <c r="Q22" s="40" t="s">
        <v>116</v>
      </c>
      <c r="R22" s="41" t="s">
        <v>117</v>
      </c>
      <c r="S22" s="42"/>
      <c r="T22" s="50"/>
      <c r="U22" s="131" t="str" cm="1">
        <f t="array" ref="U22">IF(E22="","",IF(OR(ISNUMBER(SEARCH({"10.205.37";"10.205.38";"10.205.69";"10.205.31";"10.205.28";"10.205.27"},E22))),"Platform-Runtime and Azure OPS",
IF(OR(ISNUMBER(SEARCH({"10.229.16";"10.229.17";"10.229.18";"10.229.19";"10.229.20";"10.229.21";"10.229.25";"10.229.26"},E22))),"SDDC",
IF(OR(ISNUMBER(SEARCH({"10.220";"10.221";"10.222";"10.223";"10.224";"10.225";"10.229";"185.130.242"},E22))),"SDDC",
IF(OR(ISNUMBER(SEARCH({"10.226";"10.227";"10.205"},E22))),"Azure OPS and SDDC",
IF(AND(NOT(ISNUMBER(SEARCH({"10.220";"10.221";"10.222";"10.223";"10.224";"10.225";"10.229";"10.226";"10.227";"10.205";"10.205.37";"10.205.38";"10.205.69";"10.205.31";"10.205.28";"10.205.27";"10.229.16";"10.229.17";"10.229.18";"10.229.19";"10.229.20";"10.229.21";"10.229.25";"10.229.26"},E22)))),"SCT SI - OCD",""))))))</f>
        <v>SCT SI - OCD</v>
      </c>
      <c r="V22" s="127" t="str" cm="1">
        <f t="array" ref="V22">IF(K22="","",IF(OR(ISNUMBER(SEARCH({"10.205.37";"10.205.38";"10.205.69";"10.205.31";"10.205.28";"10.205.27"},K22))),"Platform-Runtime and Azure OPS",
IF(OR(ISNUMBER(SEARCH({"10.229.16";"10.229.17";"10.229.18";"10.229.19";"10.229.20";"10.229.21";"10.229.25";"10.229.26"},K22))),"SDDC",
IF(OR(ISNUMBER(SEARCH({"10.220";"10.221";"10.222";"10.223";"10.224";"10.225";"10.229";"185.130.242"},K22))),"SDDC",
IF(OR(ISNUMBER(SEARCH({"10.226";"10.227";"10.205"},K22))),"Azure OPS and SDDC",
IF(AND(NOT(ISNUMBER(SEARCH({"10.220";"10.221";"10.222";"10.223";"10.224";"10.225";"10.229";"10.226";"10.227";"10.205";"10.205.37";"10.205.38";"10.205.69";"10.205.31";"10.205.28";"10.205.27";"10.229.16";"10.229.17";"10.229.18";"10.229.19";"10.229.20";"10.229.21";"10.229.25";"10.229.26"},K22)))),"SCT SI - OCD",""))))))</f>
        <v>SDDC</v>
      </c>
      <c r="W22" s="126"/>
    </row>
    <row r="23" spans="1:23" ht="86.4" x14ac:dyDescent="0.35">
      <c r="A23" s="18"/>
      <c r="B23" s="45">
        <v>25</v>
      </c>
      <c r="C23" s="170" t="s">
        <v>296</v>
      </c>
      <c r="D23" s="47">
        <v>864228</v>
      </c>
      <c r="E23" s="48" t="s">
        <v>288</v>
      </c>
      <c r="F23" s="46"/>
      <c r="G23" s="36"/>
      <c r="H23" s="46"/>
      <c r="I23" s="46"/>
      <c r="J23" s="170">
        <v>290139</v>
      </c>
      <c r="K23" s="49" t="s">
        <v>282</v>
      </c>
      <c r="L23" s="36" t="s">
        <v>303</v>
      </c>
      <c r="M23" s="36"/>
      <c r="N23" s="36"/>
      <c r="O23" s="36" t="s">
        <v>35</v>
      </c>
      <c r="P23" s="192" t="s">
        <v>297</v>
      </c>
      <c r="Q23" s="40" t="s">
        <v>116</v>
      </c>
      <c r="R23" s="41" t="s">
        <v>117</v>
      </c>
      <c r="S23" s="42"/>
      <c r="T23" s="50"/>
      <c r="U23" s="131" t="str" cm="1">
        <f t="array" ref="U23">IF(E23="","",IF(OR(ISNUMBER(SEARCH({"10.205.37";"10.205.38";"10.205.69";"10.205.31";"10.205.28";"10.205.27"},E23))),"Platform-Runtime and Azure OPS",
IF(OR(ISNUMBER(SEARCH({"10.229.16";"10.229.17";"10.229.18";"10.229.19";"10.229.20";"10.229.21";"10.229.25";"10.229.26"},E23))),"SDDC",
IF(OR(ISNUMBER(SEARCH({"10.220";"10.221";"10.222";"10.223";"10.224";"10.225";"10.229";"185.130.242"},E23))),"SDDC",
IF(OR(ISNUMBER(SEARCH({"10.226";"10.227";"10.205"},E23))),"Azure OPS and SDDC",
IF(AND(NOT(ISNUMBER(SEARCH({"10.220";"10.221";"10.222";"10.223";"10.224";"10.225";"10.229";"10.226";"10.227";"10.205";"10.205.37";"10.205.38";"10.205.69";"10.205.31";"10.205.28";"10.205.27";"10.229.16";"10.229.17";"10.229.18";"10.229.19";"10.229.20";"10.229.21";"10.229.25";"10.229.26"},E23)))),"SCT SI - OCD",""))))))</f>
        <v>SCT SI - OCD</v>
      </c>
      <c r="V23" s="127" t="str" cm="1">
        <f t="array" ref="V23">IF(K23="","",IF(OR(ISNUMBER(SEARCH({"10.205.37";"10.205.38";"10.205.69";"10.205.31";"10.205.28";"10.205.27"},K23))),"Platform-Runtime and Azure OPS",
IF(OR(ISNUMBER(SEARCH({"10.229.16";"10.229.17";"10.229.18";"10.229.19";"10.229.20";"10.229.21";"10.229.25";"10.229.26"},K23))),"SDDC",
IF(OR(ISNUMBER(SEARCH({"10.220";"10.221";"10.222";"10.223";"10.224";"10.225";"10.229";"185.130.242"},K23))),"SDDC",
IF(OR(ISNUMBER(SEARCH({"10.226";"10.227";"10.205"},K23))),"Azure OPS and SDDC",
IF(AND(NOT(ISNUMBER(SEARCH({"10.220";"10.221";"10.222";"10.223";"10.224";"10.225";"10.229";"10.226";"10.227";"10.205";"10.205.37";"10.205.38";"10.205.69";"10.205.31";"10.205.28";"10.205.27";"10.229.16";"10.229.17";"10.229.18";"10.229.19";"10.229.20";"10.229.21";"10.229.25";"10.229.26"},K23)))),"SCT SI - OCD",""))))))</f>
        <v>SDDC</v>
      </c>
      <c r="W23" s="18"/>
    </row>
    <row r="24" spans="1:23" ht="86.4" x14ac:dyDescent="0.35">
      <c r="A24" s="18"/>
      <c r="B24" s="45">
        <v>26</v>
      </c>
      <c r="C24" s="170" t="s">
        <v>296</v>
      </c>
      <c r="D24" s="47">
        <v>864228</v>
      </c>
      <c r="E24" s="48" t="s">
        <v>289</v>
      </c>
      <c r="F24" s="36"/>
      <c r="G24" s="36"/>
      <c r="H24" s="46"/>
      <c r="I24" s="46"/>
      <c r="J24" s="170">
        <v>290139</v>
      </c>
      <c r="K24" s="49" t="s">
        <v>282</v>
      </c>
      <c r="L24" s="51" t="s">
        <v>303</v>
      </c>
      <c r="M24" s="36"/>
      <c r="N24" s="36"/>
      <c r="O24" s="36" t="s">
        <v>35</v>
      </c>
      <c r="P24" s="192" t="s">
        <v>297</v>
      </c>
      <c r="Q24" s="40" t="s">
        <v>116</v>
      </c>
      <c r="R24" s="41" t="s">
        <v>117</v>
      </c>
      <c r="S24" s="42"/>
      <c r="T24" s="50"/>
      <c r="U24" s="131" t="str" cm="1">
        <f t="array" ref="U24">IF(E24="","",IF(OR(ISNUMBER(SEARCH({"10.205.37";"10.205.38";"10.205.69";"10.205.31";"10.205.28";"10.205.27"},E24))),"Platform-Runtime and Azure OPS",
IF(OR(ISNUMBER(SEARCH({"10.229.16";"10.229.17";"10.229.18";"10.229.19";"10.229.20";"10.229.21";"10.229.25";"10.229.26"},E24))),"SDDC",
IF(OR(ISNUMBER(SEARCH({"10.220";"10.221";"10.222";"10.223";"10.224";"10.225";"10.229";"185.130.242"},E24))),"SDDC",
IF(OR(ISNUMBER(SEARCH({"10.226";"10.227";"10.205"},E24))),"Azure OPS and SDDC",
IF(AND(NOT(ISNUMBER(SEARCH({"10.220";"10.221";"10.222";"10.223";"10.224";"10.225";"10.229";"10.226";"10.227";"10.205";"10.205.37";"10.205.38";"10.205.69";"10.205.31";"10.205.28";"10.205.27";"10.229.16";"10.229.17";"10.229.18";"10.229.19";"10.229.20";"10.229.21";"10.229.25";"10.229.26"},E24)))),"SCT SI - OCD",""))))))</f>
        <v>SCT SI - OCD</v>
      </c>
      <c r="V24" s="127" t="str" cm="1">
        <f t="array" ref="V24">IF(K24="","",IF(OR(ISNUMBER(SEARCH({"10.205.37";"10.205.38";"10.205.69";"10.205.31";"10.205.28";"10.205.27"},K24))),"Platform-Runtime and Azure OPS",
IF(OR(ISNUMBER(SEARCH({"10.229.16";"10.229.17";"10.229.18";"10.229.19";"10.229.20";"10.229.21";"10.229.25";"10.229.26"},K24))),"SDDC",
IF(OR(ISNUMBER(SEARCH({"10.220";"10.221";"10.222";"10.223";"10.224";"10.225";"10.229";"185.130.242"},K24))),"SDDC",
IF(OR(ISNUMBER(SEARCH({"10.226";"10.227";"10.205"},K24))),"Azure OPS and SDDC",
IF(AND(NOT(ISNUMBER(SEARCH({"10.220";"10.221";"10.222";"10.223";"10.224";"10.225";"10.229";"10.226";"10.227";"10.205";"10.205.37";"10.205.38";"10.205.69";"10.205.31";"10.205.28";"10.205.27";"10.229.16";"10.229.17";"10.229.18";"10.229.19";"10.229.20";"10.229.21";"10.229.25";"10.229.26"},K24)))),"SCT SI - OCD",""))))))</f>
        <v>SDDC</v>
      </c>
      <c r="W24" s="18"/>
    </row>
    <row r="25" spans="1:23" ht="86.4" x14ac:dyDescent="0.35">
      <c r="A25" s="18"/>
      <c r="B25" s="45">
        <v>27</v>
      </c>
      <c r="C25" s="170" t="s">
        <v>296</v>
      </c>
      <c r="D25" s="47">
        <v>864228</v>
      </c>
      <c r="E25" s="48" t="s">
        <v>290</v>
      </c>
      <c r="F25" s="46"/>
      <c r="G25" s="36"/>
      <c r="H25" s="46"/>
      <c r="I25" s="46"/>
      <c r="J25" s="170">
        <v>290139</v>
      </c>
      <c r="K25" s="49" t="s">
        <v>282</v>
      </c>
      <c r="L25" s="36" t="s">
        <v>303</v>
      </c>
      <c r="M25" s="36"/>
      <c r="N25" s="36"/>
      <c r="O25" s="36" t="s">
        <v>35</v>
      </c>
      <c r="P25" s="192" t="s">
        <v>297</v>
      </c>
      <c r="Q25" s="40" t="s">
        <v>116</v>
      </c>
      <c r="R25" s="41" t="s">
        <v>117</v>
      </c>
      <c r="S25" s="42"/>
      <c r="T25" s="50"/>
      <c r="U25" s="131" t="str" cm="1">
        <f t="array" ref="U25">IF(E25="","",IF(OR(ISNUMBER(SEARCH({"10.205.37";"10.205.38";"10.205.69";"10.205.31";"10.205.28";"10.205.27"},E25))),"Platform-Runtime and Azure OPS",
IF(OR(ISNUMBER(SEARCH({"10.229.16";"10.229.17";"10.229.18";"10.229.19";"10.229.20";"10.229.21";"10.229.25";"10.229.26"},E25))),"SDDC",
IF(OR(ISNUMBER(SEARCH({"10.220";"10.221";"10.222";"10.223";"10.224";"10.225";"10.229";"185.130.242"},E25))),"SDDC",
IF(OR(ISNUMBER(SEARCH({"10.226";"10.227";"10.205"},E25))),"Azure OPS and SDDC",
IF(AND(NOT(ISNUMBER(SEARCH({"10.220";"10.221";"10.222";"10.223";"10.224";"10.225";"10.229";"10.226";"10.227";"10.205";"10.205.37";"10.205.38";"10.205.69";"10.205.31";"10.205.28";"10.205.27";"10.229.16";"10.229.17";"10.229.18";"10.229.19";"10.229.20";"10.229.21";"10.229.25";"10.229.26"},E25)))),"SCT SI - OCD",""))))))</f>
        <v>SCT SI - OCD</v>
      </c>
      <c r="V25" s="127" t="str" cm="1">
        <f t="array" ref="V25">IF(K25="","",IF(OR(ISNUMBER(SEARCH({"10.205.37";"10.205.38";"10.205.69";"10.205.31";"10.205.28";"10.205.27"},K25))),"Platform-Runtime and Azure OPS",
IF(OR(ISNUMBER(SEARCH({"10.229.16";"10.229.17";"10.229.18";"10.229.19";"10.229.20";"10.229.21";"10.229.25";"10.229.26"},K25))),"SDDC",
IF(OR(ISNUMBER(SEARCH({"10.220";"10.221";"10.222";"10.223";"10.224";"10.225";"10.229";"185.130.242"},K25))),"SDDC",
IF(OR(ISNUMBER(SEARCH({"10.226";"10.227";"10.205"},K25))),"Azure OPS and SDDC",
IF(AND(NOT(ISNUMBER(SEARCH({"10.220";"10.221";"10.222";"10.223";"10.224";"10.225";"10.229";"10.226";"10.227";"10.205";"10.205.37";"10.205.38";"10.205.69";"10.205.31";"10.205.28";"10.205.27";"10.229.16";"10.229.17";"10.229.18";"10.229.19";"10.229.20";"10.229.21";"10.229.25";"10.229.26"},K25)))),"SCT SI - OCD",""))))))</f>
        <v>SDDC</v>
      </c>
      <c r="W25" s="126"/>
    </row>
    <row r="26" spans="1:23" ht="86.4" x14ac:dyDescent="0.35">
      <c r="A26" s="18"/>
      <c r="B26" s="45">
        <v>28</v>
      </c>
      <c r="C26" s="170" t="s">
        <v>296</v>
      </c>
      <c r="D26" s="47">
        <v>864228</v>
      </c>
      <c r="E26" s="48" t="s">
        <v>291</v>
      </c>
      <c r="F26" s="46"/>
      <c r="G26" s="36"/>
      <c r="H26" s="46"/>
      <c r="I26" s="46"/>
      <c r="J26" s="170">
        <v>290139</v>
      </c>
      <c r="K26" s="49" t="s">
        <v>282</v>
      </c>
      <c r="L26" s="36" t="s">
        <v>303</v>
      </c>
      <c r="M26" s="36"/>
      <c r="N26" s="36"/>
      <c r="O26" s="36" t="s">
        <v>35</v>
      </c>
      <c r="P26" s="192" t="s">
        <v>297</v>
      </c>
      <c r="Q26" s="40" t="s">
        <v>116</v>
      </c>
      <c r="R26" s="41" t="s">
        <v>117</v>
      </c>
      <c r="S26" s="42"/>
      <c r="T26" s="50"/>
      <c r="U26" s="131" t="str" cm="1">
        <f t="array" ref="U26">IF(E26="","",IF(OR(ISNUMBER(SEARCH({"10.205.37";"10.205.38";"10.205.69";"10.205.31";"10.205.28";"10.205.27"},E26))),"Platform-Runtime and Azure OPS",
IF(OR(ISNUMBER(SEARCH({"10.229.16";"10.229.17";"10.229.18";"10.229.19";"10.229.20";"10.229.21";"10.229.25";"10.229.26"},E26))),"SDDC",
IF(OR(ISNUMBER(SEARCH({"10.220";"10.221";"10.222";"10.223";"10.224";"10.225";"10.229";"185.130.242"},E26))),"SDDC",
IF(OR(ISNUMBER(SEARCH({"10.226";"10.227";"10.205"},E26))),"Azure OPS and SDDC",
IF(AND(NOT(ISNUMBER(SEARCH({"10.220";"10.221";"10.222";"10.223";"10.224";"10.225";"10.229";"10.226";"10.227";"10.205";"10.205.37";"10.205.38";"10.205.69";"10.205.31";"10.205.28";"10.205.27";"10.229.16";"10.229.17";"10.229.18";"10.229.19";"10.229.20";"10.229.21";"10.229.25";"10.229.26"},E26)))),"SCT SI - OCD",""))))))</f>
        <v>SCT SI - OCD</v>
      </c>
      <c r="V26" s="127" t="str" cm="1">
        <f t="array" ref="V26">IF(K26="","",IF(OR(ISNUMBER(SEARCH({"10.205.37";"10.205.38";"10.205.69";"10.205.31";"10.205.28";"10.205.27"},K26))),"Platform-Runtime and Azure OPS",
IF(OR(ISNUMBER(SEARCH({"10.229.16";"10.229.17";"10.229.18";"10.229.19";"10.229.20";"10.229.21";"10.229.25";"10.229.26"},K26))),"SDDC",
IF(OR(ISNUMBER(SEARCH({"10.220";"10.221";"10.222";"10.223";"10.224";"10.225";"10.229";"185.130.242"},K26))),"SDDC",
IF(OR(ISNUMBER(SEARCH({"10.226";"10.227";"10.205"},K26))),"Azure OPS and SDDC",
IF(AND(NOT(ISNUMBER(SEARCH({"10.220";"10.221";"10.222";"10.223";"10.224";"10.225";"10.229";"10.226";"10.227";"10.205";"10.205.37";"10.205.38";"10.205.69";"10.205.31";"10.205.28";"10.205.27";"10.229.16";"10.229.17";"10.229.18";"10.229.19";"10.229.20";"10.229.21";"10.229.25";"10.229.26"},K26)))),"SCT SI - OCD",""))))))</f>
        <v>SDDC</v>
      </c>
      <c r="W26" s="18"/>
    </row>
    <row r="27" spans="1:23" ht="86.4" x14ac:dyDescent="0.35">
      <c r="A27" s="18"/>
      <c r="B27" s="45">
        <v>29</v>
      </c>
      <c r="C27" s="170" t="s">
        <v>296</v>
      </c>
      <c r="D27" s="47">
        <v>864228</v>
      </c>
      <c r="E27" s="48" t="s">
        <v>292</v>
      </c>
      <c r="F27" s="46"/>
      <c r="G27" s="36"/>
      <c r="H27" s="46"/>
      <c r="I27" s="46"/>
      <c r="J27" s="170">
        <v>290139</v>
      </c>
      <c r="K27" s="49" t="s">
        <v>282</v>
      </c>
      <c r="L27" s="36" t="s">
        <v>303</v>
      </c>
      <c r="M27" s="36"/>
      <c r="N27" s="36"/>
      <c r="O27" s="36" t="s">
        <v>35</v>
      </c>
      <c r="P27" s="192" t="s">
        <v>297</v>
      </c>
      <c r="Q27" s="40" t="s">
        <v>116</v>
      </c>
      <c r="R27" s="41" t="s">
        <v>117</v>
      </c>
      <c r="S27" s="42"/>
      <c r="T27" s="50"/>
      <c r="U27" s="131" t="str" cm="1">
        <f t="array" ref="U27">IF(E27="","",IF(OR(ISNUMBER(SEARCH({"10.205.37";"10.205.38";"10.205.69";"10.205.31";"10.205.28";"10.205.27"},E27))),"Platform-Runtime and Azure OPS",
IF(OR(ISNUMBER(SEARCH({"10.229.16";"10.229.17";"10.229.18";"10.229.19";"10.229.20";"10.229.21";"10.229.25";"10.229.26"},E27))),"SDDC",
IF(OR(ISNUMBER(SEARCH({"10.220";"10.221";"10.222";"10.223";"10.224";"10.225";"10.229";"185.130.242"},E27))),"SDDC",
IF(OR(ISNUMBER(SEARCH({"10.226";"10.227";"10.205"},E27))),"Azure OPS and SDDC",
IF(AND(NOT(ISNUMBER(SEARCH({"10.220";"10.221";"10.222";"10.223";"10.224";"10.225";"10.229";"10.226";"10.227";"10.205";"10.205.37";"10.205.38";"10.205.69";"10.205.31";"10.205.28";"10.205.27";"10.229.16";"10.229.17";"10.229.18";"10.229.19";"10.229.20";"10.229.21";"10.229.25";"10.229.26"},E27)))),"SCT SI - OCD",""))))))</f>
        <v>SCT SI - OCD</v>
      </c>
      <c r="V27" s="127" t="str" cm="1">
        <f t="array" ref="V27">IF(K27="","",IF(OR(ISNUMBER(SEARCH({"10.205.37";"10.205.38";"10.205.69";"10.205.31";"10.205.28";"10.205.27"},K27))),"Platform-Runtime and Azure OPS",
IF(OR(ISNUMBER(SEARCH({"10.229.16";"10.229.17";"10.229.18";"10.229.19";"10.229.20";"10.229.21";"10.229.25";"10.229.26"},K27))),"SDDC",
IF(OR(ISNUMBER(SEARCH({"10.220";"10.221";"10.222";"10.223";"10.224";"10.225";"10.229";"185.130.242"},K27))),"SDDC",
IF(OR(ISNUMBER(SEARCH({"10.226";"10.227";"10.205"},K27))),"Azure OPS and SDDC",
IF(AND(NOT(ISNUMBER(SEARCH({"10.220";"10.221";"10.222";"10.223";"10.224";"10.225";"10.229";"10.226";"10.227";"10.205";"10.205.37";"10.205.38";"10.205.69";"10.205.31";"10.205.28";"10.205.27";"10.229.16";"10.229.17";"10.229.18";"10.229.19";"10.229.20";"10.229.21";"10.229.25";"10.229.26"},K27)))),"SCT SI - OCD",""))))))</f>
        <v>SDDC</v>
      </c>
      <c r="W27" s="126"/>
    </row>
    <row r="28" spans="1:23" ht="87" thickBot="1" x14ac:dyDescent="0.4">
      <c r="A28" s="18"/>
      <c r="B28" s="52">
        <v>30</v>
      </c>
      <c r="C28" s="160" t="s">
        <v>296</v>
      </c>
      <c r="D28" s="54">
        <v>864228</v>
      </c>
      <c r="E28" s="55" t="s">
        <v>293</v>
      </c>
      <c r="F28" s="53"/>
      <c r="G28" s="56"/>
      <c r="H28" s="53"/>
      <c r="I28" s="53"/>
      <c r="J28" s="160">
        <v>290139</v>
      </c>
      <c r="K28" s="55" t="s">
        <v>282</v>
      </c>
      <c r="L28" s="56" t="s">
        <v>303</v>
      </c>
      <c r="M28" s="56"/>
      <c r="N28" s="53"/>
      <c r="O28" s="53" t="s">
        <v>35</v>
      </c>
      <c r="P28" s="193" t="s">
        <v>297</v>
      </c>
      <c r="Q28" s="53" t="s">
        <v>116</v>
      </c>
      <c r="R28" s="57" t="s">
        <v>117</v>
      </c>
      <c r="S28" s="42"/>
      <c r="T28" s="50"/>
      <c r="U28" s="132" t="str" cm="1">
        <f t="array" ref="U28">IF(E28="","",IF(OR(ISNUMBER(SEARCH({"10.205.37";"10.205.38";"10.205.69";"10.205.31";"10.205.28";"10.205.27"},E28))),"Platform-Runtime and Azure OPS",
IF(OR(ISNUMBER(SEARCH({"10.229.16";"10.229.17";"10.229.18";"10.229.19";"10.229.20";"10.229.21";"10.229.25";"10.229.26"},E28))),"SDDC",
IF(OR(ISNUMBER(SEARCH({"10.220";"10.221";"10.222";"10.223";"10.224";"10.225";"10.229";"185.130.242"},E28))),"SDDC",
IF(OR(ISNUMBER(SEARCH({"10.226";"10.227";"10.205"},E28))),"Azure OPS and SDDC",
IF(AND(NOT(ISNUMBER(SEARCH({"10.220";"10.221";"10.222";"10.223";"10.224";"10.225";"10.229";"10.226";"10.227";"10.205";"10.205.37";"10.205.38";"10.205.69";"10.205.31";"10.205.28";"10.205.27";"10.229.16";"10.229.17";"10.229.18";"10.229.19";"10.229.20";"10.229.21";"10.229.25";"10.229.26"},E28)))),"SCT SI - OCD",""))))))</f>
        <v>SCT SI - OCD</v>
      </c>
      <c r="V28" s="128" t="str" cm="1">
        <f t="array" ref="V28">IF(K28="","",IF(OR(ISNUMBER(SEARCH({"10.205.37";"10.205.38";"10.205.69";"10.205.31";"10.205.28";"10.205.27"},K28))),"Platform-Runtime and Azure OPS",
IF(OR(ISNUMBER(SEARCH({"10.229.16";"10.229.17";"10.229.18";"10.229.19";"10.229.20";"10.229.21";"10.229.25";"10.229.26"},K28))),"SDDC",
IF(OR(ISNUMBER(SEARCH({"10.220";"10.221";"10.222";"10.223";"10.224";"10.225";"10.229";"185.130.242"},K28))),"SDDC",
IF(OR(ISNUMBER(SEARCH({"10.226";"10.227";"10.205"},K28))),"Azure OPS and SDDC",
IF(AND(NOT(ISNUMBER(SEARCH({"10.220";"10.221";"10.222";"10.223";"10.224";"10.225";"10.229";"10.226";"10.227";"10.205";"10.205.37";"10.205.38";"10.205.69";"10.205.31";"10.205.28";"10.205.27";"10.229.16";"10.229.17";"10.229.18";"10.229.19";"10.229.20";"10.229.21";"10.229.25";"10.229.26"},K28)))),"SCT SI - OCD",""))))))</f>
        <v>SDDC</v>
      </c>
      <c r="W28" s="18"/>
    </row>
    <row r="29" spans="1:23" ht="15" x14ac:dyDescent="0.35">
      <c r="A29" s="18"/>
      <c r="B29" s="18"/>
      <c r="C29" s="18"/>
      <c r="D29" s="18"/>
      <c r="E29" s="18"/>
      <c r="F29" s="18"/>
      <c r="G29" s="18"/>
      <c r="H29" s="18"/>
      <c r="I29" s="18"/>
      <c r="J29" s="18"/>
      <c r="K29" s="18"/>
      <c r="L29" s="18"/>
      <c r="M29" s="18"/>
      <c r="N29" s="18"/>
      <c r="O29" s="18"/>
      <c r="P29" s="18"/>
      <c r="Q29" s="18"/>
      <c r="R29" s="18"/>
      <c r="S29" s="18"/>
      <c r="T29" s="18"/>
      <c r="U29" s="18"/>
      <c r="V29" s="18"/>
      <c r="W29" s="18"/>
    </row>
    <row r="30" spans="1:23" ht="15.6" thickBot="1" x14ac:dyDescent="0.4">
      <c r="A30" s="18"/>
      <c r="B30" s="58"/>
      <c r="C30" s="18"/>
      <c r="D30" s="58"/>
      <c r="E30" s="58"/>
      <c r="F30" s="58"/>
      <c r="G30" s="18"/>
      <c r="H30" s="18"/>
      <c r="I30" s="18"/>
      <c r="J30" s="18"/>
      <c r="K30" s="18"/>
      <c r="L30" s="18"/>
      <c r="M30" s="18"/>
      <c r="N30" s="18"/>
      <c r="O30" s="18"/>
      <c r="P30" s="18"/>
      <c r="Q30" s="18"/>
      <c r="R30" s="18"/>
      <c r="S30" s="18"/>
      <c r="T30" s="18"/>
      <c r="U30" s="18"/>
      <c r="V30" s="18"/>
      <c r="W30" s="18"/>
    </row>
    <row r="31" spans="1:23" ht="16.8" x14ac:dyDescent="0.35">
      <c r="A31" s="18"/>
      <c r="B31" s="153" t="s">
        <v>120</v>
      </c>
      <c r="C31" s="156"/>
      <c r="D31" s="154"/>
      <c r="E31" s="154"/>
      <c r="F31" s="154"/>
      <c r="G31" s="59"/>
      <c r="H31" s="59"/>
      <c r="I31" s="59"/>
      <c r="J31" s="59"/>
      <c r="K31" s="60"/>
      <c r="L31" s="60"/>
      <c r="M31" s="135"/>
      <c r="N31" s="18"/>
      <c r="O31" s="18"/>
      <c r="P31" s="18"/>
      <c r="Q31" s="18"/>
      <c r="R31" s="18"/>
      <c r="S31" s="18"/>
      <c r="T31" s="18"/>
      <c r="U31" s="18"/>
      <c r="V31" s="18"/>
      <c r="W31" s="18"/>
    </row>
    <row r="32" spans="1:23" ht="15" customHeight="1" x14ac:dyDescent="0.35">
      <c r="A32" s="18"/>
      <c r="B32" s="199"/>
      <c r="C32" s="200"/>
      <c r="D32" s="200"/>
      <c r="E32" s="200"/>
      <c r="F32" s="200"/>
      <c r="G32" s="61"/>
      <c r="H32" s="61"/>
      <c r="I32" s="61"/>
      <c r="J32" s="61"/>
      <c r="K32" s="61"/>
      <c r="L32" s="61"/>
      <c r="M32" s="62"/>
      <c r="N32" s="18"/>
      <c r="O32" s="18"/>
      <c r="P32" s="18"/>
      <c r="Q32" s="18"/>
      <c r="R32" s="18"/>
      <c r="S32" s="18"/>
      <c r="T32" s="18"/>
      <c r="U32" s="18"/>
      <c r="V32" s="18"/>
      <c r="W32" s="18"/>
    </row>
    <row r="33" spans="1:23" ht="16.8" x14ac:dyDescent="0.4">
      <c r="A33" s="18"/>
      <c r="B33" s="199"/>
      <c r="C33" s="200"/>
      <c r="D33" s="200"/>
      <c r="E33" s="200"/>
      <c r="F33" s="200"/>
      <c r="G33" s="61"/>
      <c r="H33" s="61"/>
      <c r="I33" s="61"/>
      <c r="J33" s="61"/>
      <c r="K33" s="61"/>
      <c r="L33" s="61"/>
      <c r="M33" s="62"/>
      <c r="N33" s="18"/>
      <c r="O33" s="18"/>
      <c r="P33" s="18"/>
      <c r="Q33" s="18"/>
      <c r="R33" s="18"/>
      <c r="S33" s="63"/>
      <c r="T33" s="18"/>
      <c r="U33" s="18"/>
      <c r="V33" s="18"/>
      <c r="W33" s="18"/>
    </row>
    <row r="34" spans="1:23" ht="16.5" customHeight="1" x14ac:dyDescent="0.4">
      <c r="A34" s="18"/>
      <c r="B34" s="199"/>
      <c r="C34" s="200"/>
      <c r="D34" s="200"/>
      <c r="E34" s="200"/>
      <c r="F34" s="200"/>
      <c r="G34" s="61"/>
      <c r="H34" s="61"/>
      <c r="I34" s="61"/>
      <c r="J34" s="61"/>
      <c r="K34" s="61"/>
      <c r="L34" s="61"/>
      <c r="M34" s="62"/>
      <c r="N34" s="18"/>
      <c r="O34" s="18"/>
      <c r="P34" s="18"/>
      <c r="Q34" s="18"/>
      <c r="R34" s="18"/>
      <c r="S34" s="63"/>
      <c r="T34" s="18"/>
      <c r="U34" s="18"/>
      <c r="V34" s="18"/>
      <c r="W34" s="18"/>
    </row>
    <row r="35" spans="1:23" ht="16.8" x14ac:dyDescent="0.4">
      <c r="A35" s="18"/>
      <c r="B35" s="157" t="s">
        <v>121</v>
      </c>
      <c r="C35" s="157"/>
      <c r="D35" s="157"/>
      <c r="E35" s="157"/>
      <c r="F35" s="157"/>
      <c r="G35" s="61"/>
      <c r="H35" s="61"/>
      <c r="I35" s="61"/>
      <c r="J35" s="61"/>
      <c r="K35" s="61"/>
      <c r="L35" s="61"/>
      <c r="M35" s="62"/>
      <c r="N35" s="18"/>
      <c r="O35" s="18"/>
      <c r="P35" s="18"/>
      <c r="Q35" s="18"/>
      <c r="R35" s="18"/>
      <c r="S35" s="63"/>
      <c r="T35" s="18"/>
      <c r="U35" s="18"/>
      <c r="V35" s="18"/>
      <c r="W35" s="18"/>
    </row>
    <row r="36" spans="1:23" ht="16.8" x14ac:dyDescent="0.4">
      <c r="A36" s="18"/>
      <c r="B36" s="197"/>
      <c r="C36" s="198"/>
      <c r="D36" s="198"/>
      <c r="E36" s="198"/>
      <c r="F36" s="198"/>
      <c r="G36" s="61"/>
      <c r="H36" s="61"/>
      <c r="I36" s="61"/>
      <c r="J36" s="61"/>
      <c r="K36" s="61"/>
      <c r="L36" s="61"/>
      <c r="M36" s="62"/>
      <c r="N36" s="18"/>
      <c r="O36" s="18"/>
      <c r="P36" s="18"/>
      <c r="Q36" s="18"/>
      <c r="R36" s="18"/>
      <c r="S36" s="63"/>
      <c r="T36" s="18"/>
      <c r="U36" s="18"/>
      <c r="V36" s="18"/>
      <c r="W36" s="18"/>
    </row>
    <row r="37" spans="1:23" ht="15.75" customHeight="1" x14ac:dyDescent="0.35">
      <c r="A37" s="18"/>
      <c r="B37" s="197"/>
      <c r="C37" s="198"/>
      <c r="D37" s="198"/>
      <c r="E37" s="198"/>
      <c r="F37" s="198"/>
      <c r="G37" s="61"/>
      <c r="H37" s="61"/>
      <c r="I37" s="61"/>
      <c r="J37" s="61"/>
      <c r="K37" s="61"/>
      <c r="L37" s="61"/>
      <c r="M37" s="62"/>
      <c r="N37" s="18"/>
      <c r="O37" s="18"/>
      <c r="P37" s="18"/>
      <c r="Q37" s="18"/>
      <c r="R37" s="18"/>
      <c r="S37" s="18"/>
      <c r="T37" s="18"/>
      <c r="U37" s="18"/>
      <c r="V37" s="18"/>
      <c r="W37" s="18"/>
    </row>
    <row r="38" spans="1:23" ht="15" x14ac:dyDescent="0.35">
      <c r="A38" s="18"/>
      <c r="B38" s="64"/>
      <c r="C38" s="61"/>
      <c r="D38" s="61"/>
      <c r="E38" s="61"/>
      <c r="F38" s="61"/>
      <c r="G38" s="61"/>
      <c r="H38" s="61"/>
      <c r="I38" s="61"/>
      <c r="J38" s="61"/>
      <c r="K38" s="61"/>
      <c r="L38" s="61"/>
      <c r="M38" s="62"/>
      <c r="N38" s="18"/>
      <c r="O38" s="18"/>
      <c r="P38" s="18"/>
      <c r="Q38" s="18"/>
      <c r="R38" s="18"/>
      <c r="S38" s="18"/>
      <c r="T38" s="18"/>
      <c r="U38" s="18"/>
      <c r="V38" s="18"/>
      <c r="W38" s="18"/>
    </row>
    <row r="39" spans="1:23" ht="15.6" thickBot="1" x14ac:dyDescent="0.4">
      <c r="A39" s="18"/>
      <c r="B39" s="65"/>
      <c r="C39" s="66"/>
      <c r="D39" s="66"/>
      <c r="E39" s="66"/>
      <c r="F39" s="66"/>
      <c r="G39" s="66"/>
      <c r="H39" s="66"/>
      <c r="I39" s="66"/>
      <c r="J39" s="66"/>
      <c r="K39" s="66"/>
      <c r="L39" s="66"/>
      <c r="M39" s="67"/>
      <c r="N39" s="18"/>
      <c r="O39" s="18"/>
      <c r="P39" s="18"/>
      <c r="Q39" s="18"/>
      <c r="R39" s="18"/>
      <c r="S39" s="18"/>
      <c r="T39" s="18"/>
      <c r="U39" s="18"/>
      <c r="V39" s="18"/>
      <c r="W39" s="18"/>
    </row>
    <row r="40" spans="1:23" ht="15" x14ac:dyDescent="0.35">
      <c r="A40" s="18"/>
      <c r="B40" s="18"/>
      <c r="C40" s="18"/>
      <c r="D40" s="18"/>
      <c r="E40" s="18"/>
      <c r="F40" s="18"/>
      <c r="G40" s="18"/>
      <c r="H40" s="18"/>
      <c r="I40" s="18"/>
      <c r="J40" s="18"/>
      <c r="K40" s="18"/>
      <c r="L40" s="18"/>
      <c r="M40" s="18"/>
      <c r="N40" s="18"/>
      <c r="O40" s="18"/>
      <c r="P40" s="18"/>
      <c r="Q40" s="18"/>
      <c r="R40" s="18"/>
      <c r="S40" s="18"/>
      <c r="T40" s="18"/>
      <c r="U40" s="18"/>
      <c r="V40" s="18"/>
      <c r="W40" s="18"/>
    </row>
    <row r="41" spans="1:23" ht="15" x14ac:dyDescent="0.35">
      <c r="A41" s="18"/>
      <c r="B41" s="18"/>
      <c r="C41" s="18"/>
      <c r="D41" s="18"/>
      <c r="E41" s="18"/>
      <c r="F41" s="18"/>
      <c r="G41" s="18"/>
      <c r="H41" s="18"/>
      <c r="I41" s="18"/>
      <c r="J41" s="18"/>
      <c r="K41" s="18"/>
      <c r="L41" s="18"/>
      <c r="M41" s="18"/>
      <c r="N41" s="18"/>
      <c r="O41" s="18"/>
      <c r="P41" s="18"/>
      <c r="Q41" s="18"/>
      <c r="R41" s="18"/>
      <c r="S41" s="18"/>
      <c r="T41" s="18"/>
      <c r="U41" s="18"/>
      <c r="V41" s="18"/>
      <c r="W41" s="18"/>
    </row>
    <row r="42" spans="1:23" ht="15" x14ac:dyDescent="0.35">
      <c r="A42" s="18"/>
      <c r="B42" s="18"/>
      <c r="C42" s="18"/>
      <c r="D42" s="18"/>
      <c r="E42" s="18"/>
      <c r="F42" s="18"/>
      <c r="G42" s="18"/>
      <c r="H42" s="18"/>
      <c r="I42" s="18"/>
      <c r="J42" s="18"/>
      <c r="K42" s="18"/>
      <c r="L42" s="18"/>
      <c r="M42" s="18"/>
      <c r="N42" s="18"/>
      <c r="O42" s="18"/>
      <c r="P42" s="18"/>
      <c r="Q42" s="18"/>
      <c r="R42" s="18"/>
      <c r="S42" s="18"/>
      <c r="T42" s="18"/>
      <c r="U42" s="18"/>
      <c r="V42" s="18"/>
      <c r="W42" s="18"/>
    </row>
    <row r="43" spans="1:23" ht="15" x14ac:dyDescent="0.35">
      <c r="A43" s="18"/>
      <c r="B43" s="18"/>
      <c r="C43" s="18"/>
      <c r="D43" s="18"/>
      <c r="E43" s="18"/>
      <c r="F43" s="18"/>
      <c r="G43" s="18"/>
      <c r="H43" s="18"/>
      <c r="I43" s="18"/>
      <c r="J43" s="18"/>
      <c r="K43" s="18"/>
      <c r="L43" s="18"/>
      <c r="M43" s="18"/>
      <c r="N43" s="18"/>
      <c r="O43" s="18"/>
      <c r="P43" s="18"/>
      <c r="Q43" s="18"/>
      <c r="R43" s="18"/>
      <c r="S43" s="18"/>
      <c r="T43" s="18"/>
      <c r="U43" s="18"/>
      <c r="V43" s="18"/>
      <c r="W43" s="18"/>
    </row>
    <row r="44" spans="1:23" ht="15" x14ac:dyDescent="0.35">
      <c r="A44" s="18"/>
      <c r="B44" s="18"/>
      <c r="C44" s="18"/>
      <c r="D44" s="18"/>
      <c r="E44" s="18"/>
      <c r="F44" s="18"/>
      <c r="G44" s="18"/>
      <c r="H44" s="18"/>
      <c r="I44" s="18"/>
      <c r="J44" s="18"/>
      <c r="K44" s="18"/>
      <c r="L44" s="18"/>
      <c r="M44" s="18"/>
      <c r="N44" s="18"/>
      <c r="O44" s="18"/>
      <c r="P44" s="18"/>
      <c r="Q44" s="18"/>
      <c r="R44" s="18"/>
      <c r="S44" s="18"/>
      <c r="T44" s="18"/>
      <c r="U44" s="18"/>
      <c r="V44" s="18"/>
      <c r="W44" s="18"/>
    </row>
    <row r="45" spans="1:23" ht="15" x14ac:dyDescent="0.35">
      <c r="A45" s="18"/>
      <c r="B45" s="18"/>
      <c r="C45" s="18"/>
      <c r="D45" s="18"/>
      <c r="E45" s="18"/>
      <c r="F45" s="18"/>
      <c r="G45" s="18"/>
      <c r="H45" s="18"/>
      <c r="I45" s="18"/>
      <c r="J45" s="18"/>
      <c r="K45" s="18"/>
      <c r="L45" s="18"/>
      <c r="M45" s="18"/>
      <c r="N45" s="18"/>
      <c r="O45" s="18"/>
      <c r="P45" s="18"/>
      <c r="Q45" s="18"/>
      <c r="R45" s="18"/>
      <c r="S45" s="18"/>
      <c r="T45" s="18"/>
      <c r="U45" s="18"/>
      <c r="V45" s="18"/>
      <c r="W45" s="18"/>
    </row>
    <row r="46" spans="1:23" ht="15" x14ac:dyDescent="0.35">
      <c r="A46" s="18"/>
      <c r="B46" s="18"/>
      <c r="C46" s="18"/>
      <c r="D46" s="18"/>
      <c r="E46" s="18"/>
      <c r="F46" s="18"/>
      <c r="G46" s="18"/>
      <c r="H46" s="18"/>
      <c r="I46" s="18"/>
      <c r="J46" s="18"/>
      <c r="K46" s="18"/>
      <c r="L46" s="18"/>
      <c r="M46" s="18"/>
      <c r="N46" s="18"/>
      <c r="O46" s="18"/>
      <c r="P46" s="18"/>
      <c r="Q46" s="18"/>
      <c r="R46" s="18"/>
      <c r="S46" s="18"/>
      <c r="T46" s="18"/>
      <c r="U46" s="18"/>
      <c r="V46" s="18"/>
      <c r="W46" s="18"/>
    </row>
    <row r="47" spans="1:23" ht="15" x14ac:dyDescent="0.35">
      <c r="A47" s="18"/>
      <c r="B47" s="18"/>
      <c r="C47" s="18"/>
      <c r="D47" s="18"/>
      <c r="E47" s="18"/>
      <c r="F47" s="18"/>
      <c r="G47" s="18"/>
      <c r="H47" s="18"/>
      <c r="I47" s="18"/>
      <c r="J47" s="18"/>
      <c r="K47" s="18"/>
      <c r="L47" s="18"/>
      <c r="M47" s="18"/>
      <c r="N47" s="18"/>
      <c r="O47" s="18"/>
      <c r="P47" s="18"/>
      <c r="Q47" s="18"/>
      <c r="R47" s="18"/>
      <c r="S47" s="18"/>
      <c r="T47" s="18"/>
      <c r="U47" s="18"/>
      <c r="V47" s="18"/>
      <c r="W47" s="18"/>
    </row>
    <row r="48" spans="1:23" ht="15" x14ac:dyDescent="0.35">
      <c r="A48" s="18"/>
      <c r="B48" s="18"/>
      <c r="C48" s="18"/>
      <c r="D48" s="18"/>
      <c r="E48" s="18"/>
      <c r="F48" s="18"/>
      <c r="G48" s="18"/>
      <c r="H48" s="18"/>
      <c r="I48" s="18"/>
      <c r="J48" s="18"/>
      <c r="K48" s="18"/>
      <c r="L48" s="18"/>
      <c r="M48" s="18"/>
      <c r="N48" s="18"/>
      <c r="O48" s="18"/>
      <c r="P48" s="18"/>
      <c r="Q48" s="18"/>
      <c r="R48" s="18"/>
      <c r="S48" s="18"/>
      <c r="T48" s="18"/>
      <c r="U48" s="18"/>
      <c r="V48" s="18"/>
      <c r="W48" s="18"/>
    </row>
    <row r="49" spans="1:23" ht="15" x14ac:dyDescent="0.35">
      <c r="A49" s="18"/>
      <c r="B49" s="18"/>
      <c r="C49" s="18"/>
      <c r="D49" s="18"/>
      <c r="E49" s="18"/>
      <c r="F49" s="18"/>
      <c r="G49" s="18"/>
      <c r="H49" s="18"/>
      <c r="I49" s="18"/>
      <c r="J49" s="18"/>
      <c r="K49" s="18"/>
      <c r="L49" s="18"/>
      <c r="M49" s="18"/>
      <c r="N49" s="18"/>
      <c r="O49" s="18"/>
      <c r="P49" s="18"/>
      <c r="Q49" s="18"/>
      <c r="R49" s="18"/>
      <c r="S49" s="18"/>
      <c r="T49" s="18"/>
      <c r="U49" s="18"/>
      <c r="V49" s="18"/>
      <c r="W49" s="18"/>
    </row>
    <row r="50" spans="1:23" ht="15" x14ac:dyDescent="0.35">
      <c r="A50" s="18"/>
      <c r="B50" s="18"/>
      <c r="C50" s="18"/>
      <c r="D50" s="18"/>
      <c r="E50" s="18"/>
      <c r="F50" s="18"/>
      <c r="G50" s="18"/>
      <c r="H50" s="18"/>
      <c r="I50" s="18"/>
      <c r="J50" s="18"/>
      <c r="K50" s="18"/>
      <c r="L50" s="18"/>
      <c r="M50" s="18"/>
      <c r="N50" s="18"/>
      <c r="O50" s="18"/>
      <c r="P50" s="18"/>
      <c r="Q50" s="18"/>
      <c r="R50" s="18"/>
      <c r="S50" s="18"/>
      <c r="T50" s="18"/>
      <c r="U50" s="18"/>
      <c r="V50" s="18"/>
      <c r="W50" s="18"/>
    </row>
    <row r="51" spans="1:23" ht="15" x14ac:dyDescent="0.35">
      <c r="A51" s="18"/>
      <c r="B51" s="18"/>
      <c r="C51" s="18"/>
      <c r="D51" s="18"/>
      <c r="E51" s="18"/>
      <c r="F51" s="18"/>
      <c r="G51" s="18"/>
      <c r="H51" s="18"/>
      <c r="I51" s="18"/>
      <c r="J51" s="18"/>
      <c r="K51" s="18"/>
      <c r="L51" s="18"/>
      <c r="M51" s="18"/>
      <c r="N51" s="18"/>
      <c r="O51" s="18"/>
      <c r="P51" s="18"/>
      <c r="Q51" s="18"/>
      <c r="R51" s="18"/>
      <c r="S51" s="18"/>
      <c r="T51" s="18"/>
      <c r="U51" s="18"/>
      <c r="V51" s="18"/>
      <c r="W51" s="18"/>
    </row>
    <row r="52" spans="1:23" ht="15" x14ac:dyDescent="0.35">
      <c r="A52" s="18"/>
      <c r="B52" s="18"/>
      <c r="C52" s="18"/>
      <c r="D52" s="18"/>
      <c r="E52" s="18"/>
      <c r="F52" s="18"/>
      <c r="G52" s="18"/>
      <c r="H52" s="18"/>
      <c r="I52" s="18"/>
      <c r="J52" s="18"/>
      <c r="K52" s="18"/>
      <c r="L52" s="18"/>
      <c r="M52" s="18"/>
      <c r="N52" s="18"/>
      <c r="O52" s="18"/>
      <c r="P52" s="18"/>
      <c r="Q52" s="18"/>
      <c r="R52" s="18"/>
      <c r="S52" s="18"/>
      <c r="T52" s="18"/>
      <c r="U52" s="18"/>
      <c r="V52" s="18"/>
      <c r="W52" s="18"/>
    </row>
    <row r="53" spans="1:23" ht="15" x14ac:dyDescent="0.35">
      <c r="N53" s="11"/>
      <c r="O53" s="11"/>
      <c r="P53" s="11"/>
      <c r="Q53" s="11"/>
      <c r="R53" s="11"/>
      <c r="S53" s="11"/>
      <c r="T53" s="11"/>
      <c r="U53" s="11"/>
      <c r="V53" s="11"/>
    </row>
    <row r="54" spans="1:23" ht="15" x14ac:dyDescent="0.35">
      <c r="N54" s="11"/>
      <c r="O54" s="11"/>
      <c r="P54" s="11"/>
      <c r="Q54" s="11"/>
      <c r="R54" s="11"/>
      <c r="S54" s="11"/>
      <c r="T54" s="11"/>
      <c r="U54" s="11"/>
      <c r="V54" s="11"/>
    </row>
    <row r="55" spans="1:23" ht="15" x14ac:dyDescent="0.35">
      <c r="N55" s="11"/>
      <c r="O55" s="11"/>
      <c r="P55" s="11"/>
      <c r="Q55" s="11"/>
      <c r="R55" s="11"/>
      <c r="S55" s="11"/>
      <c r="T55" s="11"/>
      <c r="U55" s="11"/>
      <c r="V55" s="11"/>
    </row>
    <row r="56" spans="1:23" ht="15" x14ac:dyDescent="0.35">
      <c r="N56" s="11"/>
      <c r="O56" s="11"/>
      <c r="P56" s="11"/>
      <c r="Q56" s="11"/>
      <c r="R56" s="11"/>
      <c r="S56" s="11"/>
      <c r="T56" s="11"/>
      <c r="U56" s="11"/>
      <c r="V56" s="11"/>
    </row>
    <row r="57" spans="1:23" ht="15" x14ac:dyDescent="0.35">
      <c r="N57" s="11"/>
      <c r="O57" s="11"/>
      <c r="P57" s="11"/>
      <c r="Q57" s="11"/>
      <c r="R57" s="11"/>
      <c r="S57" s="11"/>
      <c r="T57" s="11"/>
      <c r="U57" s="11"/>
      <c r="V57" s="11"/>
    </row>
    <row r="58" spans="1:23" ht="15" x14ac:dyDescent="0.35">
      <c r="N58" s="11"/>
      <c r="O58" s="11"/>
      <c r="P58" s="11"/>
      <c r="Q58" s="11"/>
      <c r="R58" s="11"/>
      <c r="S58" s="11"/>
      <c r="T58" s="11"/>
      <c r="U58" s="11"/>
      <c r="V58" s="11"/>
    </row>
    <row r="59" spans="1:23" ht="15" x14ac:dyDescent="0.35">
      <c r="N59" s="11"/>
      <c r="O59" s="11"/>
      <c r="P59" s="11"/>
      <c r="Q59" s="11"/>
      <c r="R59" s="11"/>
      <c r="S59" s="11"/>
      <c r="T59" s="11"/>
      <c r="U59" s="11"/>
      <c r="V59" s="11"/>
    </row>
    <row r="60" spans="1:23" ht="15" x14ac:dyDescent="0.35">
      <c r="N60" s="11"/>
      <c r="O60" s="11"/>
      <c r="P60" s="11"/>
      <c r="Q60" s="11"/>
      <c r="R60" s="11"/>
      <c r="S60" s="11"/>
      <c r="T60" s="11"/>
      <c r="U60" s="11"/>
      <c r="V60" s="11"/>
    </row>
    <row r="61" spans="1:23" ht="15" x14ac:dyDescent="0.35">
      <c r="N61" s="11"/>
      <c r="O61" s="11"/>
      <c r="P61" s="11"/>
      <c r="Q61" s="11"/>
      <c r="R61" s="11"/>
      <c r="S61" s="11"/>
      <c r="T61" s="11"/>
      <c r="U61" s="11"/>
      <c r="V61" s="11"/>
    </row>
    <row r="62" spans="1:23" ht="15" x14ac:dyDescent="0.35">
      <c r="N62" s="11"/>
      <c r="O62" s="11"/>
      <c r="P62" s="11"/>
      <c r="Q62" s="11"/>
      <c r="R62" s="11"/>
      <c r="S62" s="11"/>
      <c r="T62" s="11"/>
      <c r="U62" s="11"/>
      <c r="V62" s="11"/>
    </row>
    <row r="63" spans="1:23" ht="15" x14ac:dyDescent="0.35">
      <c r="N63" s="11"/>
      <c r="O63" s="11"/>
      <c r="P63" s="11"/>
      <c r="Q63" s="11"/>
      <c r="R63" s="11"/>
      <c r="S63" s="11"/>
      <c r="T63" s="11"/>
      <c r="U63" s="11"/>
      <c r="V63" s="11"/>
    </row>
    <row r="64" spans="1:23" ht="15" x14ac:dyDescent="0.35">
      <c r="N64" s="11"/>
      <c r="O64" s="11"/>
      <c r="P64" s="11"/>
      <c r="Q64" s="11"/>
      <c r="R64" s="11"/>
      <c r="S64" s="11"/>
      <c r="T64" s="11"/>
      <c r="U64" s="11"/>
      <c r="V64" s="11"/>
    </row>
    <row r="65" s="11" customFormat="1" ht="15" x14ac:dyDescent="0.35"/>
    <row r="66" s="11" customFormat="1" ht="15" x14ac:dyDescent="0.35"/>
    <row r="67" s="11" customFormat="1" ht="15" x14ac:dyDescent="0.35"/>
    <row r="68" s="11" customFormat="1" ht="15" x14ac:dyDescent="0.35"/>
    <row r="69" s="11" customFormat="1" ht="15" x14ac:dyDescent="0.35"/>
    <row r="70" s="11" customFormat="1" ht="15" x14ac:dyDescent="0.35"/>
    <row r="71" s="11" customFormat="1" ht="15" x14ac:dyDescent="0.35"/>
    <row r="72" s="11" customFormat="1" ht="15" x14ac:dyDescent="0.35"/>
    <row r="73" s="11" customFormat="1" ht="15" x14ac:dyDescent="0.35"/>
    <row r="74" s="11" customFormat="1" ht="15" x14ac:dyDescent="0.35"/>
    <row r="75" s="11" customFormat="1" ht="15" x14ac:dyDescent="0.35"/>
    <row r="76" s="11" customFormat="1" ht="15" x14ac:dyDescent="0.35"/>
    <row r="77" s="11" customFormat="1" ht="15" x14ac:dyDescent="0.35"/>
    <row r="78" s="11" customFormat="1" ht="15" x14ac:dyDescent="0.35"/>
    <row r="79" s="11" customFormat="1" ht="15" x14ac:dyDescent="0.35"/>
    <row r="80" s="11" customFormat="1" ht="15" x14ac:dyDescent="0.35"/>
    <row r="81" s="11" customFormat="1" ht="15" x14ac:dyDescent="0.35"/>
    <row r="82" s="11" customFormat="1" ht="15" x14ac:dyDescent="0.35"/>
    <row r="83" s="11" customFormat="1" ht="15" x14ac:dyDescent="0.35"/>
    <row r="84" s="11" customFormat="1" ht="15" x14ac:dyDescent="0.35"/>
    <row r="85" s="11" customFormat="1" ht="15" x14ac:dyDescent="0.35"/>
    <row r="86" s="11" customFormat="1" ht="15" x14ac:dyDescent="0.35"/>
    <row r="87" s="11" customFormat="1" ht="15" x14ac:dyDescent="0.35"/>
    <row r="88" s="11" customFormat="1" ht="15" x14ac:dyDescent="0.35"/>
    <row r="89" s="11" customFormat="1" ht="15" x14ac:dyDescent="0.35"/>
    <row r="90" s="11" customFormat="1" ht="15" x14ac:dyDescent="0.35"/>
    <row r="91" s="11" customFormat="1" ht="15" x14ac:dyDescent="0.35"/>
    <row r="92" s="11" customFormat="1" ht="15" x14ac:dyDescent="0.35"/>
    <row r="93" s="11" customFormat="1" ht="15" x14ac:dyDescent="0.35"/>
    <row r="94" s="11" customFormat="1" ht="15" x14ac:dyDescent="0.35"/>
    <row r="95" s="11" customFormat="1" ht="15" x14ac:dyDescent="0.35"/>
    <row r="96" s="11" customFormat="1" ht="15" x14ac:dyDescent="0.35"/>
    <row r="97" spans="14:22" ht="15" x14ac:dyDescent="0.35">
      <c r="N97" s="11"/>
      <c r="O97" s="11"/>
      <c r="P97" s="11"/>
      <c r="Q97" s="11"/>
      <c r="R97" s="11"/>
      <c r="S97" s="11"/>
      <c r="T97" s="11"/>
      <c r="U97" s="11"/>
      <c r="V97" s="11"/>
    </row>
    <row r="98" spans="14:22" ht="15" x14ac:dyDescent="0.35">
      <c r="N98" s="11"/>
      <c r="O98" s="11"/>
      <c r="P98" s="11"/>
      <c r="Q98" s="11"/>
      <c r="R98" s="11"/>
      <c r="S98" s="11"/>
      <c r="T98" s="11"/>
      <c r="U98" s="11"/>
      <c r="V98" s="11"/>
    </row>
    <row r="99" spans="14:22" ht="15" x14ac:dyDescent="0.35">
      <c r="N99" s="11"/>
      <c r="O99" s="11"/>
      <c r="P99" s="11"/>
      <c r="Q99" s="11"/>
      <c r="R99" s="11"/>
      <c r="S99" s="11"/>
      <c r="T99" s="11"/>
      <c r="U99" s="11"/>
      <c r="V99" s="11"/>
    </row>
    <row r="100" spans="14:22" ht="15" x14ac:dyDescent="0.35">
      <c r="N100" s="11"/>
      <c r="O100" s="11"/>
      <c r="P100" s="11"/>
      <c r="Q100" s="11"/>
      <c r="R100" s="11"/>
      <c r="S100" s="11"/>
      <c r="T100" s="11"/>
      <c r="U100" s="11"/>
      <c r="V100" s="11"/>
    </row>
    <row r="101" spans="14:22" ht="15" x14ac:dyDescent="0.35">
      <c r="N101" s="11"/>
      <c r="O101" s="11"/>
      <c r="P101" s="11"/>
      <c r="Q101" s="11"/>
      <c r="R101" s="11"/>
      <c r="S101" s="11"/>
      <c r="T101" s="11"/>
      <c r="U101" s="11"/>
      <c r="V101" s="11"/>
    </row>
    <row r="102" spans="14:22" ht="15" x14ac:dyDescent="0.35"/>
    <row r="103" spans="14:22" ht="15" x14ac:dyDescent="0.35"/>
    <row r="104" spans="14:22" ht="15" x14ac:dyDescent="0.35"/>
    <row r="105" spans="14:22" ht="15" x14ac:dyDescent="0.35"/>
    <row r="106" spans="14:22" ht="15" x14ac:dyDescent="0.35"/>
    <row r="107" spans="14:22" ht="15" x14ac:dyDescent="0.35"/>
    <row r="108" spans="14:22" ht="15" x14ac:dyDescent="0.35"/>
    <row r="109" spans="14:22" ht="15" x14ac:dyDescent="0.35"/>
    <row r="110" spans="14:22" ht="15" x14ac:dyDescent="0.35"/>
  </sheetData>
  <sheetProtection algorithmName="SHA-512" hashValue="rPUX0PNEI5xb9dXZTZyC1RgV1n+h1/xQMWrY4I09yvZ5y+STjhq2f3DP0quiLs8U2tv+yKz8LAKedWYROVYkhA==" saltValue="IdPLDvOyQIsXe8HbsZg2og==" spinCount="100000" sheet="1" objects="1" scenarios="1"/>
  <mergeCells count="6">
    <mergeCell ref="B36:F37"/>
    <mergeCell ref="I2:I7"/>
    <mergeCell ref="E11:I11"/>
    <mergeCell ref="K11:M11"/>
    <mergeCell ref="U11:V11"/>
    <mergeCell ref="B32:F34"/>
  </mergeCells>
  <conditionalFormatting sqref="A12:D13">
    <cfRule type="expression" dxfId="24" priority="6" stopIfTrue="1">
      <formula>AND(ISNUMBER(VALUE(LEFT(A12, FIND(".", A12)-1))),  ISNUMBER(VALUE(MID(A12, FIND(".", A12)+1, FIND(".", A12, FIND(".", A12)+1)-FIND(".", A12)-1))),  ISNUMBER(VALUE(MID(A12, FIND(".", A12, FIND(".", A12)+1)+1, FIND(".", A12, FIND(".", A12, FIND(".", A12)+1)+1)-FIND(".", A12, FIND(".", A12)+1)-1))),  ISNUMBER(VALUE(RIGHT(A12, LEN(A12)-FIND(".", A12, FIND(".", A12, FIND(".", A12)+1)+1)))),  VALUE(LEFT(A12, FIND(".", A12)-1))&lt;=255,  VALUE(MID(A12, FIND(".", A12)+1, FIND(".", A12, FIND(".", A12)+1)-FIND(".", A12)-1))&lt;=255,  VALUE(MID(A12, FIND(".", A12, FIND(".", A12)+1)+1, FIND(".", A12, FIND(".", A12, FIND(".", A12)+1)+1)-FIND(".", A12, FIND(".", A12)+1)-1))&lt;=255,  VALUE(RIGHT(A12, LEN(A12)-FIND(".", A12, FIND(".", A12, FIND(".", A12)+1)+1)))&lt;=255)</formula>
    </cfRule>
  </conditionalFormatting>
  <conditionalFormatting sqref="A40:XFD1048576">
    <cfRule type="expression" dxfId="23" priority="1" stopIfTrue="1">
      <formula>AND(ISNUMBER(VALUE(LEFT(A40, FIND(".", A40)-1))),  ISNUMBER(VALUE(MID(A40, FIND(".", A40)+1, FIND(".", A40, FIND(".", A40)+1)-FIND(".", A40)-1))),  ISNUMBER(VALUE(MID(A40, FIND(".", A40, FIND(".", A40)+1)+1, FIND(".", A40, FIND(".", A40, FIND(".", A40)+1)+1)-FIND(".", A40, FIND(".", A40)+1)-1))),  ISNUMBER(VALUE(RIGHT(A40, LEN(A40)-FIND(".", A40, FIND(".", A40, FIND(".", A40)+1)+1)))),  VALUE(LEFT(A40, FIND(".", A40)-1))&lt;=255,  VALUE(MID(A40, FIND(".", A40)+1, FIND(".", A40, FIND(".", A40)+1)-FIND(".", A40)-1))&lt;=255,  VALUE(MID(A40, FIND(".", A40, FIND(".", A40)+1)+1, FIND(".", A40, FIND(".", A40, FIND(".", A40)+1)+1)-FIND(".", A40, FIND(".", A40)+1)-1))&lt;=255,  VALUE(RIGHT(A40, LEN(A40)-FIND(".", A40, FIND(".", A40, FIND(".", A40)+1)+1)))&lt;=255)</formula>
    </cfRule>
  </conditionalFormatting>
  <conditionalFormatting sqref="B36">
    <cfRule type="expression" dxfId="22" priority="3" stopIfTrue="1">
      <formula>AND(ISNUMBER(VALUE(LEFT(B36, FIND(".", B36)-1))),  ISNUMBER(VALUE(MID(B36, FIND(".", B36)+1, FIND(".", B36, FIND(".", B36)+1)-FIND(".", B36)-1))),  ISNUMBER(VALUE(MID(B36, FIND(".", B36, FIND(".", B36)+1)+1, FIND(".", B36, FIND(".", B36, FIND(".", B36)+1)+1)-FIND(".", B36, FIND(".", B36)+1)-1))),  ISNUMBER(VALUE(RIGHT(B36, LEN(B36)-FIND(".", B36, FIND(".", B36, FIND(".", B36)+1)+1)))),  VALUE(LEFT(B36, FIND(".", B36)-1))&lt;=255,  VALUE(MID(B36, FIND(".", B36)+1, FIND(".", B36, FIND(".", B36)+1)-FIND(".", B36)-1))&lt;=255,  VALUE(MID(B36, FIND(".", B36, FIND(".", B36)+1)+1, FIND(".", B36, FIND(".", B36, FIND(".", B36)+1)+1)-FIND(".", B36, FIND(".", B36)+1)-1))&lt;=255,  VALUE(RIGHT(B36, LEN(B36)-FIND(".", B36, FIND(".", B36, FIND(".", B36)+1)+1)))&lt;=255)</formula>
    </cfRule>
  </conditionalFormatting>
  <conditionalFormatting sqref="B35:F35">
    <cfRule type="expression" dxfId="21" priority="4" stopIfTrue="1">
      <formula>AND(ISNUMBER(VALUE(LEFT(B35, FIND(".", B35)-1))),  ISNUMBER(VALUE(MID(B35, FIND(".", B35)+1, FIND(".", B35, FIND(".", B35)+1)-FIND(".", B35)-1))),  ISNUMBER(VALUE(MID(B35, FIND(".", B35, FIND(".", B35)+1)+1, FIND(".", B35, FIND(".", B35, FIND(".", B35)+1)+1)-FIND(".", B35, FIND(".", B35)+1)-1))),  ISNUMBER(VALUE(RIGHT(B35, LEN(B35)-FIND(".", B35, FIND(".", B35, FIND(".", B35)+1)+1)))),  VALUE(LEFT(B35, FIND(".", B35)-1))&lt;=255,  VALUE(MID(B35, FIND(".", B35)+1, FIND(".", B35, FIND(".", B35)+1)-FIND(".", B35)-1))&lt;=255,  VALUE(MID(B35, FIND(".", B35, FIND(".", B35)+1)+1, FIND(".", B35, FIND(".", B35, FIND(".", B35)+1)+1)-FIND(".", B35, FIND(".", B35)+1)-1))&lt;=255,  VALUE(RIGHT(B35, LEN(B35)-FIND(".", B35, FIND(".", B35, FIND(".", B35)+1)+1)))&lt;=255)</formula>
    </cfRule>
  </conditionalFormatting>
  <conditionalFormatting sqref="C13">
    <cfRule type="expression" dxfId="20" priority="2" stopIfTrue="1">
      <formula>AND(ISNUMBER(VALUE(LEFT(C13, FIND(".", C13)-1))),  ISNUMBER(VALUE(MID(C13, FIND(".", C13)+1, FIND(".", C13, FIND(".", C13)+1)-FIND(".", C13)-1))),  ISNUMBER(VALUE(MID(C13, FIND(".", C13, FIND(".", C13)+1)+1, FIND(".", C13, FIND(".", C13, FIND(".", C13)+1)+1)-FIND(".", C13, FIND(".", C13)+1)-1))),  ISNUMBER(VALUE(RIGHT(C13, LEN(C13)-FIND(".", C13, FIND(".", C13, FIND(".", C13)+1)+1)))),  VALUE(LEFT(C13, FIND(".", C13)-1))&lt;=255,  VALUE(MID(C13, FIND(".", C13)+1, FIND(".", C13, FIND(".", C13)+1)-FIND(".", C13)-1))&lt;=255,  VALUE(MID(C13, FIND(".", C13, FIND(".", C13)+1)+1, FIND(".", C13, FIND(".", C13, FIND(".", C13)+1)+1)-FIND(".", C13, FIND(".", C13)+1)-1))&lt;=255,  VALUE(RIGHT(C13, LEN(C13)-FIND(".", C13, FIND(".", C13, FIND(".", C13)+1)+1)))&lt;=255)</formula>
    </cfRule>
  </conditionalFormatting>
  <conditionalFormatting sqref="E13:E28 K13:K28">
    <cfRule type="expression" dxfId="19" priority="12">
      <formula>LEN(E13)&gt;0</formula>
    </cfRule>
  </conditionalFormatting>
  <conditionalFormatting sqref="E12:XFD13 A14:XFD30 A1:XFD1 B2:XFD7 A8:XFD10 B11:E11 K11 N11:U11 W11:XFD11 A31 G31:XFD31 B32 N32:XFD39">
    <cfRule type="expression" dxfId="18" priority="11" stopIfTrue="1">
      <formula>AND(ISNUMBER(VALUE(LEFT(A1, FIND(".", A1)-1))),  ISNUMBER(VALUE(MID(A1, FIND(".", A1)+1, FIND(".", A1, FIND(".", A1)+1)-FIND(".", A1)-1))),  ISNUMBER(VALUE(MID(A1, FIND(".", A1, FIND(".", A1)+1)+1, FIND(".", A1, FIND(".", A1, FIND(".", A1)+1)+1)-FIND(".", A1, FIND(".", A1)+1)-1))),  ISNUMBER(VALUE(RIGHT(A1, LEN(A1)-FIND(".", A1, FIND(".", A1, FIND(".", A1)+1)+1)))),  VALUE(LEFT(A1, FIND(".", A1)-1))&lt;=255,  VALUE(MID(A1, FIND(".", A1)+1, FIND(".", A1, FIND(".", A1)+1)-FIND(".", A1)-1))&lt;=255,  VALUE(MID(A1, FIND(".", A1, FIND(".", A1)+1)+1, FIND(".", A1, FIND(".", A1, FIND(".", A1)+1)+1)-FIND(".", A1, FIND(".", A1)+1)-1))&lt;=255,  VALUE(RIGHT(A1, LEN(A1)-FIND(".", A1, FIND(".", A1, FIND(".", A1)+1)+1)))&lt;=255)</formula>
    </cfRule>
  </conditionalFormatting>
  <conditionalFormatting sqref="U13:V28">
    <cfRule type="cellIs" dxfId="17" priority="5" operator="equal">
      <formula>"Platform-Runtime and Azure OPS"</formula>
    </cfRule>
    <cfRule type="cellIs" dxfId="16" priority="7" operator="equal">
      <formula>"SDDC"</formula>
    </cfRule>
    <cfRule type="cellIs" dxfId="15" priority="8" operator="equal">
      <formula>"Azure OPS"</formula>
    </cfRule>
    <cfRule type="cellIs" dxfId="14" priority="9" operator="equal">
      <formula>"SCT SI - OCD"</formula>
    </cfRule>
    <cfRule type="cellIs" dxfId="13" priority="10" operator="equal">
      <formula>"Azure OPS and SDDC"</formula>
    </cfRule>
  </conditionalFormatting>
  <dataValidations count="24">
    <dataValidation allowBlank="1" showInputMessage="1" showErrorMessage="1" prompt="The CI number of the application that is reached." sqref="J12" xr:uid="{4809C5BF-FDF8-47C8-A23B-69E6319F0FDB}"/>
    <dataValidation allowBlank="1" showInputMessage="1" showErrorMessage="1" prompt="Understandable description of this rule." sqref="C12" xr:uid="{004DF31F-AF48-4D86-AE14-C88FC2F1F340}"/>
    <dataValidation type="decimal" errorStyle="warning" allowBlank="1" showErrorMessage="1" errorTitle="Warning" error="Please enter a single Portnumber or Portrange (x-y)." sqref="P13" xr:uid="{31C202F2-EAAF-4A3B-86E6-B78937C7ED30}">
      <formula1>1</formula1>
      <formula2>65535</formula2>
    </dataValidation>
    <dataValidation type="whole" errorStyle="warning" allowBlank="1" showErrorMessage="1" errorTitle="Warning" error="Single Portnumber or Portrange (x-y)." sqref="P14:P28" xr:uid="{20FF35C9-ED99-4B02-9C27-B618CD41D6BE}">
      <formula1>1</formula1>
      <formula2>65535</formula2>
    </dataValidation>
    <dataValidation allowBlank="1" showInputMessage="1" showErrorMessage="1" prompt="Destination Network Zone (Optional)" sqref="M12" xr:uid="{E93A074B-E6E7-46FB-8BCB-AF7C8C192B5E}"/>
    <dataValidation allowBlank="1" showInputMessage="1" showErrorMessage="1" prompt="Traffic allow or deny?" sqref="Q12" xr:uid="{8ADE30FD-7ABD-453D-BFA6-13C0CB782EAD}"/>
    <dataValidation allowBlank="1" showInputMessage="1" showErrorMessage="1" prompt="Use this textbox below to add additional information (context) to this firewall change request." sqref="B31" xr:uid="{DC919DC2-6980-4AB3-8F8A-010E6ADF4974}"/>
    <dataValidation allowBlank="1" showInputMessage="1" showErrorMessage="1" prompt="Used by the Servicedesk team only!" sqref="U11:V11" xr:uid="{04C30A8F-E011-43C4-9855-5B7497161586}"/>
    <dataValidation allowBlank="1" showInputMessage="1" showErrorMessage="1" prompt="Click on a cell for more information" sqref="I2:J7" xr:uid="{982D83BD-4AC0-4C85-8A5E-DA6F276EC758}"/>
    <dataValidation allowBlank="1" showInputMessage="1" showErrorMessage="1" prompt="Is this rule temporary or persistent?" sqref="R12" xr:uid="{4356E740-5F49-4262-8107-316484448257}"/>
    <dataValidation allowBlank="1" showInputMessage="1" showErrorMessage="1" prompt="Destination Network Zone" sqref="N12" xr:uid="{9BD9AC95-52BB-4F7D-89FD-300DF2E84642}"/>
    <dataValidation allowBlank="1" showInputMessage="1" showErrorMessage="1" prompt="Source Network Zone (Optional)" sqref="G12" xr:uid="{FB402680-1AFD-44BC-B0BC-ADCC7C968905}"/>
    <dataValidation allowBlank="1" showInputMessage="1" showErrorMessage="1" prompt="The destination IP-address(es) of this connection." sqref="K12" xr:uid="{51F78749-73C4-4299-940D-85DD705D866F}"/>
    <dataValidation allowBlank="1" showInputMessage="1" showErrorMessage="1" prompt="The Source IP-address(es) that initiates the connection." sqref="E12" xr:uid="{612D5DA3-C0F5-4241-9A5C-DE6A76C7CF81}"/>
    <dataValidation allowBlank="1" showInputMessage="1" showErrorMessage="1" prompt="Transport protocol: TCP or UDP" sqref="O12" xr:uid="{EC06BC55-5FA6-4317-B163-C01F0BC60E15}"/>
    <dataValidation allowBlank="1" showInputMessage="1" showErrorMessage="1" prompt="Beknopte omschrijving van deze regel." sqref="T12" xr:uid="{87709866-E98C-418A-9F47-B477CA3A0D99}"/>
    <dataValidation allowBlank="1" showInputMessage="1" showErrorMessage="1" prompt="Wie is de leverancier dan wel fabrikant van deze applicatie." sqref="S12" xr:uid="{74B5B8E1-9818-4640-A5AB-A2BF819172ED}"/>
    <dataValidation allowBlank="1" showInputMessage="1" showErrorMessage="1" prompt="What are the service port(s) of the application? Max 5 ports per rule." sqref="P12" xr:uid="{983CC9C7-6E92-4FD3-AE74-6D3CD4E68D65}"/>
    <dataValidation allowBlank="1" showInputMessage="1" showErrorMessage="1" prompt="The FQDN or EPG of the device/domain that the connection is pointed to." sqref="L12" xr:uid="{772E2186-19C4-44F4-BD8A-E1480591F0D8}"/>
    <dataValidation allowBlank="1" showInputMessage="1" showErrorMessage="1" prompt="Global Protect VPN only: which MS AD group needs access." sqref="I12" xr:uid="{80B32D7C-975D-4AAE-95B1-E777534CCAB4}"/>
    <dataValidation allowBlank="1" showInputMessage="1" showErrorMessage="1" prompt="The FQDN or EPG of the device/domain that initiates the connection." sqref="F12" xr:uid="{8C61CA2C-982E-4483-84E0-5D0CE2D1FD39}"/>
    <dataValidation allowBlank="1" showInputMessage="1" showErrorMessage="1" prompt="Meaningful description for this firewall rule." sqref="C12" xr:uid="{1EA78968-1EE4-41B0-BBE9-556890B6582C}"/>
    <dataValidation allowBlank="1" showInputMessage="1" showErrorMessage="1" prompt="This rule applies to this (source) application." sqref="D12" xr:uid="{08862D91-2FF8-4CB3-BDC3-199A7D74F4E5}"/>
    <dataValidation allowBlank="1" showInputMessage="1" showErrorMessage="1" prompt="What is the network service that is allowed with this fw rule?" sqref="N12" xr:uid="{BCF5D283-F383-4ACA-8610-3EE817EB4B0B}"/>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errorTitle="Warning" error="Please select the right protocol from the dropdown list." xr:uid="{09DDF30A-6D09-4CF8-8A68-F2887F0CEE38}">
          <x14:formula1>
            <xm:f>Content!$D$17:$D$20</xm:f>
          </x14:formula1>
          <xm:sqref>O14:O28</xm:sqref>
        </x14:dataValidation>
        <x14:dataValidation type="list" allowBlank="1" showInputMessage="1" showErrorMessage="1" xr:uid="{B3300F85-A2EC-4767-884B-2D5FECE1B24E}">
          <x14:formula1>
            <xm:f>Content!$D$9:$D$10</xm:f>
          </x14:formula1>
          <xm:sqref>Q13:Q28</xm:sqref>
        </x14:dataValidation>
        <x14:dataValidation type="list" allowBlank="1" showInputMessage="1" showErrorMessage="1" xr:uid="{6E0D5FAC-1300-4934-8F5A-26C05D75A578}">
          <x14:formula1>
            <xm:f>Content!$A$9:$A$40</xm:f>
          </x14:formula1>
          <xm:sqref>N13:N28</xm:sqref>
        </x14:dataValidation>
        <x14:dataValidation type="list" allowBlank="1" showInputMessage="1" showErrorMessage="1" xr:uid="{CAD72C5E-E2BE-4840-B169-F05FD527E868}">
          <x14:formula1>
            <xm:f>Content!$F$3:$F$13</xm:f>
          </x14:formula1>
          <xm:sqref>G13:G28 M13:M28</xm:sqref>
        </x14:dataValidation>
        <x14:dataValidation type="list" allowBlank="1" showInputMessage="1" showErrorMessage="1" xr:uid="{830D41E3-F816-4196-8861-688A92BBDFAA}">
          <x14:formula1>
            <xm:f>Content!$D$12:$D$13</xm:f>
          </x14:formula1>
          <xm:sqref>R13:R28</xm:sqref>
        </x14:dataValidation>
        <x14:dataValidation type="list" allowBlank="1" showInputMessage="1" showErrorMessage="1" xr:uid="{5832B311-4CF0-4828-9EC1-AABEB6038133}">
          <x14:formula1>
            <xm:f>Content!$D$17:$D$20</xm:f>
          </x14:formula1>
          <xm:sqref>O13</xm:sqref>
        </x14:dataValidation>
        <x14:dataValidation type="list" allowBlank="1" showInputMessage="1" showErrorMessage="1" xr:uid="{501BA253-5A33-48B5-BADC-8AF341304775}">
          <x14:formula1>
            <xm:f>Content!$B$9:$B$18</xm:f>
          </x14:formula1>
          <xm:sqref>S13:S28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5EBB-D194-471A-9F49-C74F1FD3D5C5}">
  <dimension ref="A1:P22"/>
  <sheetViews>
    <sheetView zoomScale="160" zoomScaleNormal="160" workbookViewId="0">
      <selection activeCell="A14" sqref="A14"/>
    </sheetView>
  </sheetViews>
  <sheetFormatPr defaultRowHeight="14.4" x14ac:dyDescent="0.3"/>
  <cols>
    <col min="1" max="1" width="12.44140625" customWidth="1"/>
    <col min="2" max="2" width="13.88671875" customWidth="1"/>
    <col min="3" max="3" width="15.5546875" customWidth="1"/>
    <col min="4" max="4" width="10.6640625" customWidth="1"/>
    <col min="5" max="5" width="36.5546875" customWidth="1"/>
  </cols>
  <sheetData>
    <row r="1" spans="1:16" ht="22.2" x14ac:dyDescent="0.5">
      <c r="A1" s="102" t="s">
        <v>123</v>
      </c>
      <c r="B1" s="102"/>
      <c r="C1" s="102"/>
      <c r="D1" s="102"/>
      <c r="E1" s="103"/>
      <c r="F1" s="103"/>
      <c r="G1" s="103"/>
      <c r="H1" s="103"/>
      <c r="I1" s="103"/>
      <c r="J1" s="103"/>
      <c r="K1" s="103"/>
      <c r="L1" s="103"/>
      <c r="M1" s="103"/>
      <c r="N1" s="103"/>
      <c r="O1" s="101"/>
      <c r="P1" s="14"/>
    </row>
    <row r="2" spans="1:16" ht="16.8" x14ac:dyDescent="0.4">
      <c r="A2" s="63" t="s">
        <v>81</v>
      </c>
      <c r="B2" s="104" t="s">
        <v>83</v>
      </c>
      <c r="C2" s="104" t="s">
        <v>124</v>
      </c>
      <c r="D2" s="104" t="s">
        <v>125</v>
      </c>
      <c r="E2" s="104" t="s">
        <v>126</v>
      </c>
      <c r="F2" s="18"/>
      <c r="G2" s="18"/>
      <c r="H2" s="18"/>
      <c r="I2" s="18"/>
      <c r="J2" s="18"/>
      <c r="K2" s="18"/>
      <c r="L2" s="18"/>
      <c r="M2" s="18"/>
      <c r="N2" s="18"/>
      <c r="O2" s="14"/>
      <c r="P2" s="14"/>
    </row>
    <row r="3" spans="1:16" ht="15" x14ac:dyDescent="0.35">
      <c r="A3" s="18" t="s">
        <v>127</v>
      </c>
      <c r="B3" s="105">
        <v>45869</v>
      </c>
      <c r="C3" s="83" t="s">
        <v>128</v>
      </c>
      <c r="D3" s="83" t="s">
        <v>129</v>
      </c>
      <c r="E3" s="18"/>
      <c r="F3" s="18"/>
      <c r="G3" s="18"/>
      <c r="H3" s="18"/>
      <c r="I3" s="18"/>
      <c r="J3" s="18"/>
      <c r="K3" s="18"/>
      <c r="L3" s="18"/>
      <c r="M3" s="18"/>
      <c r="N3" s="18"/>
      <c r="O3" s="14"/>
      <c r="P3" s="14"/>
    </row>
    <row r="4" spans="1:16" ht="15" x14ac:dyDescent="0.35">
      <c r="A4" s="18" t="s">
        <v>130</v>
      </c>
      <c r="B4" s="105">
        <v>45881</v>
      </c>
      <c r="C4" s="83" t="s">
        <v>131</v>
      </c>
      <c r="D4" s="83" t="s">
        <v>129</v>
      </c>
      <c r="E4" s="18" t="s">
        <v>132</v>
      </c>
      <c r="F4" s="18"/>
      <c r="G4" s="18"/>
      <c r="H4" s="18"/>
      <c r="I4" s="18"/>
      <c r="J4" s="18"/>
      <c r="K4" s="18"/>
      <c r="L4" s="18"/>
      <c r="M4" s="18"/>
      <c r="N4" s="18"/>
      <c r="O4" s="14"/>
      <c r="P4" s="14"/>
    </row>
    <row r="5" spans="1:16" ht="15" x14ac:dyDescent="0.35">
      <c r="A5" s="18" t="s">
        <v>133</v>
      </c>
      <c r="B5" s="105">
        <v>45883</v>
      </c>
      <c r="C5" s="83" t="s">
        <v>128</v>
      </c>
      <c r="D5" s="83" t="s">
        <v>129</v>
      </c>
      <c r="E5" s="18"/>
      <c r="F5" s="18"/>
      <c r="G5" s="18"/>
      <c r="H5" s="18"/>
      <c r="I5" s="18"/>
      <c r="J5" s="18"/>
      <c r="K5" s="18"/>
      <c r="L5" s="18"/>
      <c r="M5" s="18"/>
      <c r="N5" s="18"/>
      <c r="O5" s="14"/>
      <c r="P5" s="14"/>
    </row>
    <row r="6" spans="1:16" ht="15" x14ac:dyDescent="0.35">
      <c r="A6" s="18" t="s">
        <v>134</v>
      </c>
      <c r="B6" s="105">
        <v>45894</v>
      </c>
      <c r="C6" s="83" t="s">
        <v>128</v>
      </c>
      <c r="D6" s="83" t="s">
        <v>129</v>
      </c>
      <c r="E6" s="18" t="s">
        <v>135</v>
      </c>
      <c r="F6" s="18"/>
      <c r="G6" s="18"/>
      <c r="H6" s="18"/>
      <c r="I6" s="18"/>
      <c r="J6" s="18"/>
      <c r="K6" s="18"/>
      <c r="L6" s="18"/>
      <c r="M6" s="18"/>
      <c r="N6" s="18"/>
      <c r="O6" s="14"/>
      <c r="P6" s="14"/>
    </row>
    <row r="7" spans="1:16" ht="15" x14ac:dyDescent="0.35">
      <c r="A7" s="18" t="s">
        <v>136</v>
      </c>
      <c r="B7" s="105">
        <v>45909</v>
      </c>
      <c r="C7" s="83" t="s">
        <v>131</v>
      </c>
      <c r="D7" s="83" t="s">
        <v>129</v>
      </c>
      <c r="E7" s="18" t="s">
        <v>137</v>
      </c>
      <c r="F7" s="18"/>
      <c r="G7" s="18"/>
      <c r="H7" s="18"/>
      <c r="I7" s="18"/>
      <c r="J7" s="18"/>
      <c r="K7" s="18"/>
      <c r="L7" s="18"/>
      <c r="M7" s="18"/>
      <c r="N7" s="18"/>
      <c r="O7" s="14"/>
      <c r="P7" s="14"/>
    </row>
    <row r="8" spans="1:16" ht="15" x14ac:dyDescent="0.35">
      <c r="A8" s="18" t="s">
        <v>138</v>
      </c>
      <c r="B8" s="105">
        <v>45917</v>
      </c>
      <c r="C8" s="83" t="s">
        <v>128</v>
      </c>
      <c r="D8" s="83" t="s">
        <v>129</v>
      </c>
      <c r="E8" s="18" t="s">
        <v>139</v>
      </c>
      <c r="F8" s="18"/>
      <c r="G8" s="18"/>
      <c r="H8" s="18"/>
      <c r="I8" s="18" t="s">
        <v>140</v>
      </c>
      <c r="J8" s="18"/>
      <c r="K8" s="18"/>
      <c r="L8" s="18"/>
      <c r="M8" s="18"/>
      <c r="N8" s="18"/>
      <c r="O8" s="14"/>
      <c r="P8" s="14"/>
    </row>
    <row r="9" spans="1:16" ht="15" x14ac:dyDescent="0.35">
      <c r="A9" s="18" t="s">
        <v>141</v>
      </c>
      <c r="B9" s="105">
        <v>45923</v>
      </c>
      <c r="C9" s="83" t="s">
        <v>131</v>
      </c>
      <c r="D9" s="83" t="s">
        <v>129</v>
      </c>
      <c r="E9" s="18" t="s">
        <v>142</v>
      </c>
      <c r="F9" s="18"/>
      <c r="G9" s="18"/>
      <c r="H9" s="18"/>
      <c r="I9" s="18"/>
      <c r="J9" s="18"/>
      <c r="K9" s="18"/>
      <c r="L9" s="18"/>
      <c r="M9" s="18"/>
      <c r="N9" s="18"/>
      <c r="O9" s="14"/>
      <c r="P9" s="14"/>
    </row>
    <row r="10" spans="1:16" ht="15" x14ac:dyDescent="0.35">
      <c r="A10" s="18" t="s">
        <v>143</v>
      </c>
      <c r="B10" s="105">
        <v>45953</v>
      </c>
      <c r="C10" s="83" t="s">
        <v>128</v>
      </c>
      <c r="D10" s="83" t="s">
        <v>129</v>
      </c>
      <c r="E10" s="18" t="s">
        <v>144</v>
      </c>
      <c r="F10" s="18"/>
      <c r="G10" s="18" t="s">
        <v>145</v>
      </c>
      <c r="H10" s="18"/>
      <c r="I10" s="18"/>
      <c r="J10" s="18"/>
      <c r="K10" s="18"/>
      <c r="L10" s="18"/>
      <c r="M10" s="18"/>
      <c r="N10" s="18"/>
      <c r="O10" s="14"/>
      <c r="P10" s="14"/>
    </row>
    <row r="11" spans="1:16" ht="15" x14ac:dyDescent="0.35">
      <c r="A11" s="18" t="s">
        <v>146</v>
      </c>
      <c r="B11" s="105">
        <v>45978</v>
      </c>
      <c r="C11" s="83" t="s">
        <v>128</v>
      </c>
      <c r="D11" s="83" t="s">
        <v>129</v>
      </c>
      <c r="E11" s="18" t="s">
        <v>148</v>
      </c>
      <c r="F11" s="18"/>
      <c r="G11" s="18"/>
      <c r="H11" s="18"/>
      <c r="I11" s="18"/>
      <c r="J11" s="18"/>
      <c r="K11" s="18"/>
      <c r="L11" s="18"/>
      <c r="M11" s="18"/>
      <c r="N11" s="18"/>
      <c r="O11" s="14"/>
      <c r="P11" s="14"/>
    </row>
    <row r="12" spans="1:16" ht="15" x14ac:dyDescent="0.35">
      <c r="A12" s="18" t="s">
        <v>149</v>
      </c>
      <c r="B12" s="125">
        <v>45979</v>
      </c>
      <c r="C12" s="83" t="s">
        <v>128</v>
      </c>
      <c r="D12" s="83" t="s">
        <v>129</v>
      </c>
      <c r="E12" s="18" t="s">
        <v>150</v>
      </c>
      <c r="F12" s="18"/>
      <c r="G12" s="18"/>
      <c r="H12" s="18"/>
      <c r="I12" s="18"/>
      <c r="J12" s="18"/>
      <c r="K12" s="18"/>
      <c r="L12" s="18"/>
      <c r="M12" s="18"/>
      <c r="N12" s="18"/>
      <c r="O12" s="14"/>
      <c r="P12" s="14"/>
    </row>
    <row r="13" spans="1:16" ht="15" x14ac:dyDescent="0.35">
      <c r="A13" s="18" t="s">
        <v>151</v>
      </c>
      <c r="B13" s="125">
        <v>46000</v>
      </c>
      <c r="C13" s="83" t="s">
        <v>131</v>
      </c>
      <c r="D13" s="83" t="s">
        <v>147</v>
      </c>
      <c r="E13" s="18" t="s">
        <v>152</v>
      </c>
      <c r="F13" s="18"/>
      <c r="G13" s="18"/>
      <c r="H13" s="18"/>
      <c r="I13" s="18"/>
      <c r="J13" s="18"/>
      <c r="K13" s="18"/>
      <c r="L13" s="18"/>
      <c r="M13" s="18"/>
      <c r="N13" s="18"/>
      <c r="O13" s="14"/>
      <c r="P13" s="14"/>
    </row>
    <row r="14" spans="1:16" ht="15" x14ac:dyDescent="0.35">
      <c r="A14" s="18" t="s">
        <v>153</v>
      </c>
      <c r="B14" s="125">
        <v>46113</v>
      </c>
      <c r="C14" s="83" t="s">
        <v>154</v>
      </c>
      <c r="D14" s="83" t="s">
        <v>147</v>
      </c>
      <c r="E14" s="18" t="s">
        <v>276</v>
      </c>
      <c r="F14" s="18"/>
      <c r="G14" s="18"/>
      <c r="H14" s="18"/>
      <c r="I14" s="18"/>
      <c r="J14" s="18"/>
      <c r="K14" s="18"/>
      <c r="L14" s="18"/>
      <c r="M14" s="18"/>
      <c r="N14" s="18"/>
      <c r="O14" s="14"/>
      <c r="P14" s="14"/>
    </row>
    <row r="15" spans="1:16" ht="15" x14ac:dyDescent="0.35">
      <c r="A15" s="18"/>
      <c r="B15" s="18"/>
      <c r="C15" s="18"/>
      <c r="D15" s="18"/>
      <c r="E15" s="18"/>
      <c r="F15" s="18"/>
      <c r="G15" s="18"/>
      <c r="H15" s="18"/>
      <c r="I15" s="18"/>
      <c r="J15" s="18"/>
      <c r="K15" s="18"/>
      <c r="L15" s="18"/>
      <c r="M15" s="18"/>
      <c r="N15" s="18"/>
      <c r="O15" s="14"/>
      <c r="P15" s="14"/>
    </row>
    <row r="16" spans="1:16" ht="15" x14ac:dyDescent="0.35">
      <c r="A16" s="18"/>
      <c r="B16" s="18"/>
      <c r="C16" s="18"/>
      <c r="D16" s="18"/>
      <c r="E16" s="18"/>
      <c r="F16" s="18"/>
      <c r="G16" s="18"/>
      <c r="H16" s="18"/>
      <c r="I16" s="18"/>
      <c r="J16" s="18"/>
      <c r="K16" s="18"/>
      <c r="L16" s="18"/>
      <c r="M16" s="18"/>
      <c r="N16" s="18"/>
      <c r="O16" s="14"/>
      <c r="P16" s="14"/>
    </row>
    <row r="17" spans="1:16" x14ac:dyDescent="0.3">
      <c r="A17" s="14"/>
      <c r="B17" s="14"/>
      <c r="C17" s="14"/>
      <c r="D17" s="14"/>
      <c r="E17" s="14"/>
      <c r="F17" s="14"/>
      <c r="G17" s="14"/>
      <c r="H17" s="14"/>
      <c r="I17" s="14"/>
      <c r="J17" s="14"/>
      <c r="K17" s="14"/>
      <c r="L17" s="14"/>
      <c r="M17" s="14"/>
      <c r="N17" s="14"/>
      <c r="O17" s="14"/>
      <c r="P17" s="14"/>
    </row>
    <row r="18" spans="1:16" x14ac:dyDescent="0.3">
      <c r="A18" s="14"/>
      <c r="B18" s="14"/>
      <c r="C18" s="14"/>
      <c r="D18" s="14"/>
      <c r="E18" s="14"/>
      <c r="F18" s="14"/>
      <c r="G18" s="14"/>
      <c r="H18" s="14"/>
      <c r="I18" s="14"/>
      <c r="J18" s="14"/>
      <c r="K18" s="14"/>
      <c r="L18" s="14"/>
      <c r="M18" s="14"/>
      <c r="N18" s="14"/>
      <c r="O18" s="14"/>
      <c r="P18" s="14"/>
    </row>
    <row r="19" spans="1:16" x14ac:dyDescent="0.3">
      <c r="A19" s="14"/>
      <c r="B19" s="14"/>
      <c r="C19" s="14"/>
      <c r="D19" s="14"/>
      <c r="E19" s="14"/>
      <c r="F19" s="14"/>
      <c r="G19" s="14"/>
      <c r="H19" s="14"/>
      <c r="I19" s="14"/>
      <c r="J19" s="14"/>
      <c r="K19" s="14"/>
      <c r="L19" s="14"/>
      <c r="M19" s="14"/>
      <c r="N19" s="14"/>
      <c r="O19" s="14"/>
      <c r="P19" s="14"/>
    </row>
    <row r="20" spans="1:16" x14ac:dyDescent="0.3">
      <c r="A20" s="14"/>
      <c r="B20" s="14"/>
      <c r="C20" s="14"/>
      <c r="D20" s="14"/>
      <c r="E20" s="14"/>
      <c r="F20" s="14"/>
      <c r="G20" s="14"/>
      <c r="H20" s="14"/>
      <c r="I20" s="14"/>
      <c r="J20" s="14"/>
      <c r="K20" s="14"/>
      <c r="L20" s="14"/>
      <c r="M20" s="14"/>
      <c r="N20" s="14"/>
      <c r="O20" s="14"/>
      <c r="P20" s="14"/>
    </row>
    <row r="21" spans="1:16" x14ac:dyDescent="0.3">
      <c r="A21" s="14"/>
      <c r="B21" s="14"/>
      <c r="C21" s="14"/>
      <c r="D21" s="14"/>
      <c r="E21" s="14"/>
      <c r="F21" s="14"/>
      <c r="G21" s="14"/>
      <c r="H21" s="14"/>
      <c r="I21" s="14"/>
      <c r="J21" s="14"/>
      <c r="K21" s="14"/>
      <c r="L21" s="14"/>
      <c r="M21" s="14"/>
      <c r="N21" s="14"/>
      <c r="O21" s="14"/>
      <c r="P21" s="14"/>
    </row>
    <row r="22" spans="1:16" x14ac:dyDescent="0.3">
      <c r="A22" s="14"/>
      <c r="B22" s="14"/>
      <c r="C22" s="14"/>
      <c r="D22" s="14"/>
      <c r="E22" s="14"/>
      <c r="F22" s="14"/>
      <c r="G22" s="14"/>
      <c r="H22" s="14"/>
      <c r="I22" s="14"/>
      <c r="J22" s="14"/>
      <c r="K22" s="14"/>
      <c r="L22" s="14"/>
      <c r="M22" s="14"/>
      <c r="N22" s="14"/>
      <c r="O22" s="14"/>
      <c r="P22" s="14"/>
    </row>
  </sheetData>
  <sheetProtection algorithmName="SHA-512" hashValue="ZsntSNpZjoqSnJq29KC+ObizcnapSUIGD9JaNoy5HT1J0HmNOLDGzXlSdknQmDxkeBN68BpgpxCv3U5AkigVgw==" saltValue="A3hNR0A1Vi1zhz/p2usw4A==" spinCount="100000" sheet="1" objects="1" scenarios="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9C17376-4B43-4C75-984C-89A79AC527DC}">
          <x14:formula1>
            <xm:f>Content!$N$3:$N$5</xm:f>
          </x14:formula1>
          <xm:sqref>C3:C9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EE725-9DFA-4883-9407-56B4D5EE6815}">
  <dimension ref="A2:V53"/>
  <sheetViews>
    <sheetView topLeftCell="G1" zoomScale="130" zoomScaleNormal="130" workbookViewId="0">
      <selection activeCell="V8" sqref="V8"/>
    </sheetView>
  </sheetViews>
  <sheetFormatPr defaultRowHeight="14.4" x14ac:dyDescent="0.3"/>
  <cols>
    <col min="1" max="1" width="21.6640625" customWidth="1"/>
    <col min="2" max="2" width="21.109375" bestFit="1" customWidth="1"/>
  </cols>
  <sheetData>
    <row r="2" spans="1:22" ht="15.6" x14ac:dyDescent="0.3">
      <c r="A2" s="7" t="s">
        <v>155</v>
      </c>
      <c r="B2" s="7" t="s">
        <v>156</v>
      </c>
      <c r="F2" s="5" t="s">
        <v>157</v>
      </c>
      <c r="N2" s="5" t="s">
        <v>158</v>
      </c>
      <c r="R2" s="5" t="s">
        <v>159</v>
      </c>
      <c r="V2" s="5" t="s">
        <v>160</v>
      </c>
    </row>
    <row r="3" spans="1:22" x14ac:dyDescent="0.3">
      <c r="A3" t="s">
        <v>161</v>
      </c>
      <c r="B3" t="s">
        <v>71</v>
      </c>
      <c r="F3" t="s">
        <v>113</v>
      </c>
      <c r="N3" t="s">
        <v>162</v>
      </c>
      <c r="R3" t="s">
        <v>163</v>
      </c>
      <c r="V3" t="s">
        <v>57</v>
      </c>
    </row>
    <row r="4" spans="1:22" x14ac:dyDescent="0.3">
      <c r="A4" t="s">
        <v>164</v>
      </c>
      <c r="B4" t="s">
        <v>165</v>
      </c>
      <c r="F4" t="s">
        <v>166</v>
      </c>
      <c r="N4" t="s">
        <v>131</v>
      </c>
      <c r="R4" t="s">
        <v>167</v>
      </c>
      <c r="V4" t="s">
        <v>168</v>
      </c>
    </row>
    <row r="5" spans="1:22" x14ac:dyDescent="0.3">
      <c r="A5" t="s">
        <v>169</v>
      </c>
      <c r="B5" t="s">
        <v>170</v>
      </c>
      <c r="F5" t="s">
        <v>171</v>
      </c>
      <c r="N5" t="s">
        <v>128</v>
      </c>
      <c r="R5" t="s">
        <v>172</v>
      </c>
      <c r="V5" t="s">
        <v>173</v>
      </c>
    </row>
    <row r="6" spans="1:22" x14ac:dyDescent="0.3">
      <c r="A6" t="s">
        <v>174</v>
      </c>
      <c r="F6" t="s">
        <v>175</v>
      </c>
      <c r="R6" t="s">
        <v>176</v>
      </c>
      <c r="V6" t="s">
        <v>177</v>
      </c>
    </row>
    <row r="7" spans="1:22" x14ac:dyDescent="0.3">
      <c r="F7" t="s">
        <v>178</v>
      </c>
      <c r="N7" s="5" t="s">
        <v>179</v>
      </c>
      <c r="R7" t="s">
        <v>180</v>
      </c>
    </row>
    <row r="8" spans="1:22" ht="15.6" x14ac:dyDescent="0.3">
      <c r="A8" s="7" t="s">
        <v>181</v>
      </c>
      <c r="B8" s="7" t="s">
        <v>182</v>
      </c>
      <c r="D8" s="7" t="s">
        <v>183</v>
      </c>
      <c r="F8" t="s">
        <v>184</v>
      </c>
      <c r="N8" t="s">
        <v>185</v>
      </c>
      <c r="R8" t="s">
        <v>186</v>
      </c>
    </row>
    <row r="9" spans="1:22" x14ac:dyDescent="0.3">
      <c r="A9" s="6" t="s">
        <v>114</v>
      </c>
      <c r="B9" t="s">
        <v>187</v>
      </c>
      <c r="D9" t="s">
        <v>116</v>
      </c>
      <c r="F9" t="s">
        <v>110</v>
      </c>
    </row>
    <row r="10" spans="1:22" x14ac:dyDescent="0.3">
      <c r="A10" s="6" t="s">
        <v>188</v>
      </c>
      <c r="B10" t="s">
        <v>189</v>
      </c>
      <c r="D10" t="s">
        <v>190</v>
      </c>
      <c r="F10" t="s">
        <v>191</v>
      </c>
    </row>
    <row r="11" spans="1:22" x14ac:dyDescent="0.3">
      <c r="A11" s="6" t="s">
        <v>32</v>
      </c>
      <c r="B11" t="s">
        <v>192</v>
      </c>
      <c r="F11" t="s">
        <v>193</v>
      </c>
    </row>
    <row r="12" spans="1:22" x14ac:dyDescent="0.3">
      <c r="A12" s="6" t="s">
        <v>194</v>
      </c>
      <c r="B12" t="s">
        <v>195</v>
      </c>
      <c r="D12" t="s">
        <v>117</v>
      </c>
      <c r="F12" t="s">
        <v>196</v>
      </c>
    </row>
    <row r="13" spans="1:22" x14ac:dyDescent="0.3">
      <c r="A13" s="6" t="s">
        <v>197</v>
      </c>
      <c r="B13" t="s">
        <v>198</v>
      </c>
      <c r="D13" t="s">
        <v>77</v>
      </c>
      <c r="F13" t="s">
        <v>199</v>
      </c>
    </row>
    <row r="14" spans="1:22" x14ac:dyDescent="0.3">
      <c r="A14" s="6" t="s">
        <v>200</v>
      </c>
      <c r="B14" t="s">
        <v>201</v>
      </c>
    </row>
    <row r="15" spans="1:22" x14ac:dyDescent="0.3">
      <c r="A15" s="6" t="s">
        <v>202</v>
      </c>
      <c r="B15" t="s">
        <v>203</v>
      </c>
      <c r="G15" s="5" t="s">
        <v>204</v>
      </c>
    </row>
    <row r="16" spans="1:22" ht="15.6" x14ac:dyDescent="0.3">
      <c r="A16" s="6" t="s">
        <v>205</v>
      </c>
      <c r="B16" t="s">
        <v>206</v>
      </c>
      <c r="D16" s="7" t="s">
        <v>98</v>
      </c>
      <c r="G16" s="8" t="s">
        <v>207</v>
      </c>
    </row>
    <row r="17" spans="1:18" x14ac:dyDescent="0.3">
      <c r="A17" s="6" t="s">
        <v>208</v>
      </c>
      <c r="B17" t="s">
        <v>209</v>
      </c>
      <c r="D17" t="s">
        <v>35</v>
      </c>
      <c r="G17" s="8" t="s">
        <v>210</v>
      </c>
    </row>
    <row r="18" spans="1:18" x14ac:dyDescent="0.3">
      <c r="A18" s="6" t="s">
        <v>211</v>
      </c>
      <c r="B18" t="s">
        <v>118</v>
      </c>
      <c r="D18" t="s">
        <v>115</v>
      </c>
      <c r="G18" s="8" t="s">
        <v>212</v>
      </c>
    </row>
    <row r="19" spans="1:18" x14ac:dyDescent="0.3">
      <c r="A19" s="6" t="s">
        <v>213</v>
      </c>
      <c r="D19" t="s">
        <v>214</v>
      </c>
      <c r="G19" s="8" t="s">
        <v>215</v>
      </c>
      <c r="P19" s="10"/>
      <c r="Q19" s="10"/>
      <c r="R19" s="10"/>
    </row>
    <row r="20" spans="1:18" x14ac:dyDescent="0.3">
      <c r="A20" s="6" t="s">
        <v>216</v>
      </c>
      <c r="D20" t="s">
        <v>217</v>
      </c>
      <c r="G20" s="8" t="s">
        <v>218</v>
      </c>
    </row>
    <row r="21" spans="1:18" x14ac:dyDescent="0.3">
      <c r="A21" s="6" t="s">
        <v>219</v>
      </c>
    </row>
    <row r="22" spans="1:18" x14ac:dyDescent="0.3">
      <c r="A22" s="6" t="s">
        <v>220</v>
      </c>
      <c r="G22" s="5" t="s">
        <v>221</v>
      </c>
    </row>
    <row r="23" spans="1:18" x14ac:dyDescent="0.3">
      <c r="A23" s="6" t="s">
        <v>222</v>
      </c>
      <c r="G23" s="9" t="s">
        <v>223</v>
      </c>
    </row>
    <row r="24" spans="1:18" x14ac:dyDescent="0.3">
      <c r="A24" s="6" t="s">
        <v>224</v>
      </c>
      <c r="G24" s="9" t="s">
        <v>225</v>
      </c>
    </row>
    <row r="25" spans="1:18" x14ac:dyDescent="0.3">
      <c r="A25" s="6" t="s">
        <v>226</v>
      </c>
      <c r="B25" s="6"/>
      <c r="G25" s="9" t="s">
        <v>227</v>
      </c>
    </row>
    <row r="26" spans="1:18" x14ac:dyDescent="0.3">
      <c r="A26" s="6" t="s">
        <v>228</v>
      </c>
      <c r="G26" s="9" t="s">
        <v>229</v>
      </c>
      <c r="O26" s="10"/>
      <c r="P26" s="10"/>
    </row>
    <row r="27" spans="1:18" x14ac:dyDescent="0.3">
      <c r="A27" s="6" t="s">
        <v>230</v>
      </c>
      <c r="G27" s="9" t="s">
        <v>231</v>
      </c>
    </row>
    <row r="28" spans="1:18" x14ac:dyDescent="0.3">
      <c r="A28" s="6" t="s">
        <v>232</v>
      </c>
      <c r="G28" s="9" t="s">
        <v>233</v>
      </c>
    </row>
    <row r="29" spans="1:18" x14ac:dyDescent="0.3">
      <c r="A29" s="6" t="s">
        <v>234</v>
      </c>
      <c r="G29" s="9" t="s">
        <v>235</v>
      </c>
    </row>
    <row r="30" spans="1:18" x14ac:dyDescent="0.3">
      <c r="A30" s="6" t="s">
        <v>236</v>
      </c>
      <c r="B30" s="6"/>
      <c r="G30" s="9" t="s">
        <v>237</v>
      </c>
    </row>
    <row r="31" spans="1:18" x14ac:dyDescent="0.3">
      <c r="A31" s="6" t="s">
        <v>238</v>
      </c>
      <c r="B31" s="6"/>
      <c r="G31" s="9" t="s">
        <v>239</v>
      </c>
    </row>
    <row r="32" spans="1:18" x14ac:dyDescent="0.3">
      <c r="A32" s="6" t="s">
        <v>240</v>
      </c>
      <c r="G32" s="9" t="s">
        <v>241</v>
      </c>
    </row>
    <row r="33" spans="1:14" x14ac:dyDescent="0.3">
      <c r="A33" s="6" t="s">
        <v>242</v>
      </c>
    </row>
    <row r="34" spans="1:14" x14ac:dyDescent="0.3">
      <c r="A34" s="6" t="s">
        <v>243</v>
      </c>
      <c r="G34" s="9" t="s">
        <v>244</v>
      </c>
      <c r="N34" t="s">
        <v>245</v>
      </c>
    </row>
    <row r="35" spans="1:14" x14ac:dyDescent="0.3">
      <c r="A35" s="6" t="s">
        <v>246</v>
      </c>
      <c r="G35" s="9" t="s">
        <v>247</v>
      </c>
      <c r="N35" t="s">
        <v>248</v>
      </c>
    </row>
    <row r="36" spans="1:14" x14ac:dyDescent="0.3">
      <c r="A36" s="6" t="s">
        <v>249</v>
      </c>
      <c r="B36" s="6"/>
      <c r="G36" s="9" t="s">
        <v>250</v>
      </c>
      <c r="N36" t="s">
        <v>251</v>
      </c>
    </row>
    <row r="37" spans="1:14" x14ac:dyDescent="0.3">
      <c r="A37" s="6" t="s">
        <v>252</v>
      </c>
      <c r="G37" s="9" t="s">
        <v>253</v>
      </c>
      <c r="N37" t="s">
        <v>254</v>
      </c>
    </row>
    <row r="38" spans="1:14" x14ac:dyDescent="0.3">
      <c r="A38" s="6" t="s">
        <v>255</v>
      </c>
      <c r="G38" s="9"/>
    </row>
    <row r="39" spans="1:14" x14ac:dyDescent="0.3">
      <c r="A39" s="6" t="s">
        <v>256</v>
      </c>
      <c r="B39" s="6"/>
    </row>
    <row r="40" spans="1:14" x14ac:dyDescent="0.3">
      <c r="A40" s="6" t="s">
        <v>257</v>
      </c>
    </row>
    <row r="45" spans="1:14" x14ac:dyDescent="0.3">
      <c r="B45" s="6"/>
    </row>
    <row r="46" spans="1:14" x14ac:dyDescent="0.3">
      <c r="B46" s="6"/>
    </row>
    <row r="47" spans="1:14" x14ac:dyDescent="0.3">
      <c r="B47" s="6"/>
    </row>
    <row r="52" spans="2:2" x14ac:dyDescent="0.3">
      <c r="B52" s="6"/>
    </row>
    <row r="53" spans="2:2" x14ac:dyDescent="0.3">
      <c r="B53" s="6"/>
    </row>
  </sheetData>
  <pageMargins left="0.7" right="0.7" top="0.75" bottom="0.75" header="0.3" footer="0.3"/>
  <pageSetup paperSize="9" orientation="portrait" r:id="rId1"/>
  <headerFooter>
    <oddFooter>&amp;C_x000D_&amp;1#&amp;"Calibri"&amp;10&amp;KFF7900 Orange Restricted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C1E40-57C3-4DEE-98B7-F9F22842521C}">
  <dimension ref="A1:F33"/>
  <sheetViews>
    <sheetView workbookViewId="0">
      <selection activeCell="E2" sqref="E2"/>
    </sheetView>
  </sheetViews>
  <sheetFormatPr defaultRowHeight="14.4" x14ac:dyDescent="0.3"/>
  <cols>
    <col min="1" max="1" width="27.6640625" customWidth="1"/>
    <col min="2" max="2" width="9.109375" style="163"/>
  </cols>
  <sheetData>
    <row r="1" spans="1:6" ht="15.6" x14ac:dyDescent="0.3">
      <c r="A1" s="7" t="s">
        <v>181</v>
      </c>
      <c r="B1" s="162" t="s">
        <v>258</v>
      </c>
      <c r="E1" s="5" t="s">
        <v>259</v>
      </c>
      <c r="F1" s="5" t="s">
        <v>258</v>
      </c>
    </row>
    <row r="2" spans="1:6" x14ac:dyDescent="0.3">
      <c r="A2" s="6" t="s">
        <v>114</v>
      </c>
      <c r="B2" s="163">
        <v>53</v>
      </c>
      <c r="E2" t="s">
        <v>32</v>
      </c>
      <c r="F2">
        <f t="shared" ref="F2:F23" si="0">IF(_xlfn.XLOOKUP(E2, A:A, B:B, "")="", "Manual define", _xlfn.XLOOKUP(E2, A:A, B:B, "Unknown"))</f>
        <v>443</v>
      </c>
    </row>
    <row r="3" spans="1:6" x14ac:dyDescent="0.3">
      <c r="A3" s="6" t="s">
        <v>188</v>
      </c>
      <c r="B3" s="163" t="s">
        <v>260</v>
      </c>
      <c r="E3" t="s">
        <v>234</v>
      </c>
      <c r="F3">
        <v>678</v>
      </c>
    </row>
    <row r="4" spans="1:6" x14ac:dyDescent="0.3">
      <c r="A4" s="6" t="s">
        <v>32</v>
      </c>
      <c r="B4" s="163">
        <v>443</v>
      </c>
      <c r="E4" t="s">
        <v>246</v>
      </c>
      <c r="F4" t="str">
        <f t="shared" si="0"/>
        <v>Manual define</v>
      </c>
    </row>
    <row r="5" spans="1:6" x14ac:dyDescent="0.3">
      <c r="A5" s="6" t="s">
        <v>194</v>
      </c>
      <c r="F5" t="str">
        <f t="shared" si="0"/>
        <v>Manual define</v>
      </c>
    </row>
    <row r="6" spans="1:6" x14ac:dyDescent="0.3">
      <c r="A6" s="6" t="s">
        <v>197</v>
      </c>
      <c r="B6" s="163">
        <v>123</v>
      </c>
      <c r="F6" t="str">
        <f t="shared" si="0"/>
        <v>Manual define</v>
      </c>
    </row>
    <row r="7" spans="1:6" x14ac:dyDescent="0.3">
      <c r="A7" s="6" t="s">
        <v>261</v>
      </c>
      <c r="B7" s="163">
        <v>636</v>
      </c>
      <c r="F7" t="str">
        <f t="shared" si="0"/>
        <v>Manual define</v>
      </c>
    </row>
    <row r="8" spans="1:6" x14ac:dyDescent="0.3">
      <c r="A8" s="6" t="s">
        <v>202</v>
      </c>
      <c r="F8" t="str">
        <f t="shared" si="0"/>
        <v>Manual define</v>
      </c>
    </row>
    <row r="9" spans="1:6" x14ac:dyDescent="0.3">
      <c r="A9" s="6" t="s">
        <v>205</v>
      </c>
      <c r="B9" s="163">
        <v>1812</v>
      </c>
      <c r="F9" t="str">
        <f t="shared" si="0"/>
        <v>Manual define</v>
      </c>
    </row>
    <row r="10" spans="1:6" x14ac:dyDescent="0.3">
      <c r="A10" s="6" t="s">
        <v>208</v>
      </c>
      <c r="B10" s="163">
        <v>22</v>
      </c>
      <c r="F10" t="str">
        <f t="shared" si="0"/>
        <v>Manual define</v>
      </c>
    </row>
    <row r="11" spans="1:6" x14ac:dyDescent="0.3">
      <c r="A11" s="6" t="s">
        <v>211</v>
      </c>
      <c r="B11" s="163">
        <v>443</v>
      </c>
      <c r="F11" t="str">
        <f t="shared" si="0"/>
        <v>Manual define</v>
      </c>
    </row>
    <row r="12" spans="1:6" x14ac:dyDescent="0.3">
      <c r="A12" s="6" t="s">
        <v>213</v>
      </c>
      <c r="B12" s="163">
        <v>514</v>
      </c>
      <c r="F12" t="str">
        <f t="shared" si="0"/>
        <v>Manual define</v>
      </c>
    </row>
    <row r="13" spans="1:6" x14ac:dyDescent="0.3">
      <c r="A13" s="6" t="s">
        <v>216</v>
      </c>
      <c r="F13" t="str">
        <f t="shared" si="0"/>
        <v>Manual define</v>
      </c>
    </row>
    <row r="14" spans="1:6" x14ac:dyDescent="0.3">
      <c r="A14" s="6" t="s">
        <v>219</v>
      </c>
      <c r="F14" t="str">
        <f t="shared" si="0"/>
        <v>Manual define</v>
      </c>
    </row>
    <row r="15" spans="1:6" x14ac:dyDescent="0.3">
      <c r="A15" s="6" t="s">
        <v>220</v>
      </c>
      <c r="B15" s="163">
        <v>80</v>
      </c>
      <c r="F15" t="str">
        <f t="shared" si="0"/>
        <v>Manual define</v>
      </c>
    </row>
    <row r="16" spans="1:6" x14ac:dyDescent="0.3">
      <c r="A16" s="6" t="s">
        <v>222</v>
      </c>
      <c r="F16" t="str">
        <f t="shared" si="0"/>
        <v>Manual define</v>
      </c>
    </row>
    <row r="17" spans="1:6" x14ac:dyDescent="0.3">
      <c r="A17" s="6" t="s">
        <v>224</v>
      </c>
      <c r="F17" t="str">
        <f t="shared" si="0"/>
        <v>Manual define</v>
      </c>
    </row>
    <row r="18" spans="1:6" x14ac:dyDescent="0.3">
      <c r="A18" s="6" t="s">
        <v>226</v>
      </c>
      <c r="F18" t="str">
        <f t="shared" si="0"/>
        <v>Manual define</v>
      </c>
    </row>
    <row r="19" spans="1:6" x14ac:dyDescent="0.3">
      <c r="A19" s="6" t="s">
        <v>228</v>
      </c>
      <c r="F19" t="str">
        <f t="shared" si="0"/>
        <v>Manual define</v>
      </c>
    </row>
    <row r="20" spans="1:6" x14ac:dyDescent="0.3">
      <c r="A20" s="6" t="s">
        <v>230</v>
      </c>
      <c r="F20" t="str">
        <f t="shared" si="0"/>
        <v>Manual define</v>
      </c>
    </row>
    <row r="21" spans="1:6" x14ac:dyDescent="0.3">
      <c r="A21" s="6" t="s">
        <v>232</v>
      </c>
      <c r="F21" t="str">
        <f t="shared" si="0"/>
        <v>Manual define</v>
      </c>
    </row>
    <row r="22" spans="1:6" x14ac:dyDescent="0.3">
      <c r="A22" s="6" t="s">
        <v>234</v>
      </c>
      <c r="F22" t="str">
        <f t="shared" si="0"/>
        <v>Manual define</v>
      </c>
    </row>
    <row r="23" spans="1:6" x14ac:dyDescent="0.3">
      <c r="A23" s="6" t="s">
        <v>236</v>
      </c>
      <c r="F23" t="str">
        <f t="shared" si="0"/>
        <v>Manual define</v>
      </c>
    </row>
    <row r="24" spans="1:6" x14ac:dyDescent="0.3">
      <c r="A24" s="6" t="s">
        <v>238</v>
      </c>
      <c r="E24" t="s">
        <v>234</v>
      </c>
      <c r="F24" t="str">
        <f>IF(_xlfn.XLOOKUP(E24, A:A, B:B, "")="", "Manual define", _xlfn.XLOOKUP(E24, A:A, B:B, "Unknown"))</f>
        <v>Manual define</v>
      </c>
    </row>
    <row r="25" spans="1:6" x14ac:dyDescent="0.3">
      <c r="A25" s="6" t="s">
        <v>240</v>
      </c>
    </row>
    <row r="26" spans="1:6" x14ac:dyDescent="0.3">
      <c r="A26" s="6" t="s">
        <v>242</v>
      </c>
    </row>
    <row r="27" spans="1:6" x14ac:dyDescent="0.3">
      <c r="A27" s="6" t="s">
        <v>243</v>
      </c>
    </row>
    <row r="28" spans="1:6" x14ac:dyDescent="0.3">
      <c r="A28" s="6" t="s">
        <v>246</v>
      </c>
    </row>
    <row r="29" spans="1:6" x14ac:dyDescent="0.3">
      <c r="A29" s="6" t="s">
        <v>249</v>
      </c>
    </row>
    <row r="30" spans="1:6" x14ac:dyDescent="0.3">
      <c r="A30" s="6" t="s">
        <v>252</v>
      </c>
      <c r="B30" s="163">
        <v>80</v>
      </c>
    </row>
    <row r="31" spans="1:6" x14ac:dyDescent="0.3">
      <c r="A31" s="6" t="s">
        <v>255</v>
      </c>
      <c r="B31" s="163">
        <v>22</v>
      </c>
    </row>
    <row r="32" spans="1:6" x14ac:dyDescent="0.3">
      <c r="A32" s="6" t="s">
        <v>256</v>
      </c>
      <c r="B32" s="163">
        <v>3389</v>
      </c>
    </row>
    <row r="33" spans="1:1" x14ac:dyDescent="0.3">
      <c r="A33" s="6" t="s">
        <v>257</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3250-C0BD-42A7-A69D-DC0F162211D5}">
  <dimension ref="A1:BH40"/>
  <sheetViews>
    <sheetView zoomScale="115" zoomScaleNormal="115" workbookViewId="0">
      <selection activeCell="D14" sqref="D14"/>
    </sheetView>
  </sheetViews>
  <sheetFormatPr defaultColWidth="0" defaultRowHeight="0" customHeight="1" zeroHeight="1" x14ac:dyDescent="0.35"/>
  <cols>
    <col min="1" max="1" width="8.5546875" style="11" customWidth="1"/>
    <col min="2" max="2" width="6.33203125" style="11" customWidth="1"/>
    <col min="3" max="3" width="12.44140625" style="11" customWidth="1"/>
    <col min="4" max="4" width="34.33203125" style="11" customWidth="1"/>
    <col min="5" max="5" width="30.88671875" style="11" customWidth="1"/>
    <col min="6" max="6" width="29.109375" style="11" customWidth="1"/>
    <col min="7" max="7" width="31.33203125" style="11" customWidth="1"/>
    <col min="8" max="8" width="25.6640625" style="11" hidden="1" customWidth="1"/>
    <col min="9" max="9" width="33" style="11" bestFit="1" customWidth="1"/>
    <col min="10" max="10" width="32.44140625" style="11" customWidth="1"/>
    <col min="11" max="11" width="30.109375" style="11" customWidth="1"/>
    <col min="12" max="12" width="30.33203125" style="11" customWidth="1"/>
    <col min="13" max="13" width="29.44140625" style="12" bestFit="1" customWidth="1"/>
    <col min="14" max="14" width="10.6640625" style="12" customWidth="1"/>
    <col min="15" max="15" width="17.109375" style="12" customWidth="1"/>
    <col min="16" max="16" width="10.6640625" style="12" customWidth="1"/>
    <col min="17" max="17" width="15.88671875" style="12" bestFit="1" customWidth="1"/>
    <col min="18" max="18" width="21.33203125" style="12" hidden="1" customWidth="1"/>
    <col min="19" max="19" width="56.5546875" style="12" hidden="1" customWidth="1"/>
    <col min="20" max="20" width="23.5546875" style="12" customWidth="1"/>
    <col min="21" max="21" width="27.33203125" style="12" customWidth="1"/>
    <col min="22" max="22" width="8.5546875" style="11" customWidth="1"/>
    <col min="23" max="60" width="0" style="11" hidden="1" customWidth="1"/>
    <col min="61" max="16384" width="9.109375" style="11" hidden="1"/>
  </cols>
  <sheetData>
    <row r="1" spans="1:22" s="12" customFormat="1" ht="15" customHeight="1" x14ac:dyDescent="0.7">
      <c r="A1" s="18"/>
      <c r="B1" s="31"/>
      <c r="C1" s="32"/>
      <c r="D1" s="32"/>
      <c r="E1" s="18"/>
      <c r="F1" s="18"/>
      <c r="G1" s="18"/>
      <c r="H1" s="18"/>
      <c r="I1" s="18"/>
      <c r="J1" s="18"/>
      <c r="K1" s="18"/>
      <c r="L1" s="18"/>
      <c r="M1" s="18"/>
      <c r="N1" s="18"/>
      <c r="O1" s="18"/>
      <c r="P1" s="18"/>
      <c r="Q1" s="18"/>
      <c r="R1" s="18"/>
      <c r="S1" s="18"/>
      <c r="T1" s="18"/>
      <c r="U1" s="18"/>
      <c r="V1" s="18"/>
    </row>
    <row r="2" spans="1:22" s="12" customFormat="1" ht="15" x14ac:dyDescent="0.35">
      <c r="A2" s="18"/>
      <c r="B2" s="33"/>
      <c r="C2" s="18"/>
      <c r="D2" s="18"/>
      <c r="E2" s="18"/>
      <c r="F2" s="18"/>
      <c r="G2" s="18"/>
      <c r="H2" s="18"/>
      <c r="I2" s="205"/>
      <c r="J2" s="18"/>
      <c r="K2" s="18"/>
      <c r="L2" s="18"/>
      <c r="M2" s="18"/>
      <c r="N2" s="18"/>
      <c r="O2" s="18"/>
      <c r="P2" s="18"/>
      <c r="Q2" s="18"/>
      <c r="R2" s="18"/>
      <c r="S2" s="18"/>
      <c r="T2" s="18"/>
      <c r="U2" s="18"/>
      <c r="V2" s="18"/>
    </row>
    <row r="3" spans="1:22" s="12" customFormat="1" ht="15" x14ac:dyDescent="0.35">
      <c r="A3" s="18"/>
      <c r="B3" s="33"/>
      <c r="C3" s="18"/>
      <c r="D3" s="18"/>
      <c r="E3" s="18"/>
      <c r="F3" s="18"/>
      <c r="G3" s="18"/>
      <c r="H3" s="18"/>
      <c r="I3" s="205"/>
      <c r="J3" s="18"/>
      <c r="K3" s="18"/>
      <c r="L3" s="18"/>
      <c r="M3" s="18"/>
      <c r="N3" s="18"/>
      <c r="O3" s="18"/>
      <c r="P3" s="18"/>
      <c r="Q3" s="18"/>
      <c r="R3" s="18"/>
      <c r="S3" s="18"/>
      <c r="T3" s="18"/>
      <c r="U3" s="18"/>
      <c r="V3" s="18"/>
    </row>
    <row r="4" spans="1:22" s="12" customFormat="1" ht="15" x14ac:dyDescent="0.35">
      <c r="A4" s="18"/>
      <c r="B4" s="33"/>
      <c r="C4" s="18"/>
      <c r="D4" s="18"/>
      <c r="E4" s="18"/>
      <c r="F4" s="18"/>
      <c r="G4" s="18"/>
      <c r="H4" s="18"/>
      <c r="I4" s="205"/>
      <c r="J4" s="18"/>
      <c r="K4" s="18"/>
      <c r="L4" s="18"/>
      <c r="M4" s="18"/>
      <c r="N4" s="18"/>
      <c r="O4" s="18"/>
      <c r="P4" s="18"/>
      <c r="Q4" s="18"/>
      <c r="R4" s="18"/>
      <c r="S4" s="18"/>
      <c r="T4" s="18"/>
      <c r="U4" s="18"/>
      <c r="V4" s="18"/>
    </row>
    <row r="5" spans="1:22" s="12" customFormat="1" ht="15" x14ac:dyDescent="0.35">
      <c r="A5" s="18"/>
      <c r="B5" s="33"/>
      <c r="C5" s="18"/>
      <c r="D5" s="18"/>
      <c r="E5" s="18"/>
      <c r="F5" s="18"/>
      <c r="G5" s="18"/>
      <c r="H5" s="18"/>
      <c r="I5" s="205"/>
      <c r="J5" s="18"/>
      <c r="K5" s="18"/>
      <c r="L5" s="18"/>
      <c r="M5" s="18"/>
      <c r="N5" s="18"/>
      <c r="O5" s="18"/>
      <c r="P5" s="18"/>
      <c r="Q5" s="18"/>
      <c r="R5" s="18"/>
      <c r="S5" s="18"/>
      <c r="T5" s="18"/>
      <c r="U5" s="18"/>
      <c r="V5" s="18"/>
    </row>
    <row r="6" spans="1:22" s="12" customFormat="1" ht="15" x14ac:dyDescent="0.35">
      <c r="A6" s="18"/>
      <c r="B6" s="33"/>
      <c r="C6" s="18"/>
      <c r="D6" s="18"/>
      <c r="E6" s="18"/>
      <c r="F6" s="18"/>
      <c r="G6" s="18"/>
      <c r="H6" s="18"/>
      <c r="I6" s="205"/>
      <c r="J6" s="18"/>
      <c r="K6" s="18"/>
      <c r="L6" s="18"/>
      <c r="M6" s="18"/>
      <c r="N6" s="18"/>
      <c r="O6" s="18"/>
      <c r="P6" s="18"/>
      <c r="Q6" s="18"/>
      <c r="R6" s="18"/>
      <c r="S6" s="18"/>
      <c r="T6" s="18"/>
      <c r="U6" s="18"/>
      <c r="V6" s="18"/>
    </row>
    <row r="7" spans="1:22" s="12" customFormat="1" ht="15.6" thickBot="1" x14ac:dyDescent="0.4">
      <c r="A7" s="18"/>
      <c r="B7" s="33"/>
      <c r="C7" s="18"/>
      <c r="D7" s="18"/>
      <c r="E7" s="18"/>
      <c r="F7" s="18"/>
      <c r="G7" s="18"/>
      <c r="H7" s="18"/>
      <c r="I7" s="205"/>
      <c r="J7" s="18"/>
      <c r="K7" s="18"/>
      <c r="L7" s="18"/>
      <c r="M7" s="18"/>
      <c r="N7" s="18"/>
      <c r="O7" s="18"/>
      <c r="P7" s="18"/>
      <c r="Q7" s="18"/>
      <c r="R7" s="18"/>
      <c r="S7" s="18"/>
      <c r="T7" s="18"/>
      <c r="U7" s="18"/>
      <c r="V7" s="18"/>
    </row>
    <row r="8" spans="1:22" s="12" customFormat="1" ht="16.2" thickTop="1" thickBot="1" x14ac:dyDescent="0.4">
      <c r="A8" s="18"/>
      <c r="B8" s="33"/>
      <c r="C8" s="18"/>
      <c r="D8" s="18"/>
      <c r="E8" s="123" t="s">
        <v>86</v>
      </c>
      <c r="F8" s="18"/>
      <c r="G8" s="18"/>
      <c r="H8" s="18"/>
      <c r="I8" s="18"/>
      <c r="J8" s="18"/>
      <c r="K8" s="18"/>
      <c r="L8" s="18"/>
      <c r="M8" s="18"/>
      <c r="N8" s="18"/>
      <c r="O8" s="18"/>
      <c r="P8" s="18"/>
      <c r="Q8" s="18"/>
      <c r="R8" s="18"/>
      <c r="S8" s="18"/>
      <c r="T8" s="18"/>
      <c r="U8" s="18"/>
      <c r="V8" s="18"/>
    </row>
    <row r="9" spans="1:22" s="12" customFormat="1" ht="15.6" thickTop="1" x14ac:dyDescent="0.35">
      <c r="A9" s="18"/>
      <c r="B9" s="33"/>
      <c r="C9" s="18"/>
      <c r="D9" s="18"/>
      <c r="E9" s="18"/>
      <c r="F9" s="18"/>
      <c r="G9" s="18"/>
      <c r="H9" s="18"/>
      <c r="I9" s="18"/>
      <c r="J9" s="18"/>
      <c r="K9" s="18"/>
      <c r="L9" s="18"/>
      <c r="M9" s="18"/>
      <c r="N9" s="18"/>
      <c r="O9" s="18"/>
      <c r="P9" s="18"/>
      <c r="Q9" s="18"/>
      <c r="R9" s="18"/>
      <c r="S9" s="18"/>
      <c r="T9" s="18"/>
      <c r="U9" s="18"/>
      <c r="V9" s="18"/>
    </row>
    <row r="10" spans="1:22" s="12" customFormat="1" ht="15.6" thickBot="1" x14ac:dyDescent="0.4">
      <c r="A10" s="18"/>
      <c r="B10" s="33"/>
      <c r="C10" s="18"/>
      <c r="D10" s="18"/>
      <c r="E10" s="18"/>
      <c r="F10" s="18"/>
      <c r="G10" s="18"/>
      <c r="H10" s="18"/>
      <c r="I10" s="18"/>
      <c r="J10" s="18"/>
      <c r="K10" s="18"/>
      <c r="L10" s="18"/>
      <c r="M10" s="18"/>
      <c r="N10" s="18"/>
      <c r="O10" s="18"/>
      <c r="P10" s="18"/>
      <c r="Q10" s="18"/>
      <c r="R10" s="18"/>
      <c r="S10" s="18"/>
      <c r="T10" s="18"/>
      <c r="U10" s="18"/>
      <c r="V10" s="18"/>
    </row>
    <row r="11" spans="1:22" ht="15.6" thickBot="1" x14ac:dyDescent="0.4">
      <c r="A11" s="18"/>
      <c r="B11" s="22"/>
      <c r="C11" s="22"/>
      <c r="D11" s="22"/>
      <c r="E11" s="201" t="s">
        <v>87</v>
      </c>
      <c r="F11" s="208"/>
      <c r="G11" s="208"/>
      <c r="H11" s="208"/>
      <c r="I11" s="208"/>
      <c r="J11" s="209" t="s">
        <v>88</v>
      </c>
      <c r="K11" s="210"/>
      <c r="L11" s="210"/>
      <c r="M11" s="79"/>
      <c r="N11" s="79"/>
      <c r="O11" s="79"/>
      <c r="P11" s="80"/>
      <c r="Q11" s="22"/>
      <c r="R11" s="22"/>
      <c r="S11" s="22"/>
      <c r="T11" s="201" t="s">
        <v>89</v>
      </c>
      <c r="U11" s="202"/>
      <c r="V11" s="18"/>
    </row>
    <row r="12" spans="1:22" ht="15.6" thickBot="1" x14ac:dyDescent="0.4">
      <c r="A12" s="18"/>
      <c r="B12" s="68" t="s">
        <v>90</v>
      </c>
      <c r="C12" s="69" t="s">
        <v>262</v>
      </c>
      <c r="D12" s="70" t="s">
        <v>6</v>
      </c>
      <c r="E12" s="168" t="s">
        <v>92</v>
      </c>
      <c r="F12" s="71" t="s">
        <v>93</v>
      </c>
      <c r="G12" s="72" t="s">
        <v>94</v>
      </c>
      <c r="H12" s="73" t="s">
        <v>19</v>
      </c>
      <c r="I12" s="70" t="s">
        <v>95</v>
      </c>
      <c r="J12" s="74" t="s">
        <v>97</v>
      </c>
      <c r="K12" s="75" t="s">
        <v>93</v>
      </c>
      <c r="L12" s="76" t="s">
        <v>94</v>
      </c>
      <c r="M12" s="70" t="s">
        <v>30</v>
      </c>
      <c r="N12" s="73" t="s">
        <v>98</v>
      </c>
      <c r="O12" s="81" t="s">
        <v>99</v>
      </c>
      <c r="P12" s="82" t="s">
        <v>100</v>
      </c>
      <c r="Q12" s="77" t="s">
        <v>101</v>
      </c>
      <c r="R12" s="73" t="s">
        <v>102</v>
      </c>
      <c r="S12" s="71" t="s">
        <v>103</v>
      </c>
      <c r="T12" s="129" t="s">
        <v>104</v>
      </c>
      <c r="U12" s="130" t="s">
        <v>105</v>
      </c>
      <c r="V12" s="18"/>
    </row>
    <row r="13" spans="1:22" ht="15" x14ac:dyDescent="0.35">
      <c r="A13" s="18"/>
      <c r="B13" s="165" t="s">
        <v>106</v>
      </c>
      <c r="C13" s="138">
        <v>123456</v>
      </c>
      <c r="D13" s="166" t="s">
        <v>107</v>
      </c>
      <c r="E13" s="167" t="s">
        <v>108</v>
      </c>
      <c r="F13" s="138" t="s">
        <v>109</v>
      </c>
      <c r="G13" s="139" t="s">
        <v>110</v>
      </c>
      <c r="H13" s="140"/>
      <c r="I13" s="141" t="s">
        <v>23</v>
      </c>
      <c r="J13" s="142" t="s">
        <v>111</v>
      </c>
      <c r="K13" s="138" t="s">
        <v>112</v>
      </c>
      <c r="L13" s="139" t="s">
        <v>113</v>
      </c>
      <c r="M13" s="143" t="s">
        <v>114</v>
      </c>
      <c r="N13" s="138" t="s">
        <v>115</v>
      </c>
      <c r="O13" s="144">
        <v>53</v>
      </c>
      <c r="P13" s="145" t="s">
        <v>190</v>
      </c>
      <c r="Q13" s="146" t="s">
        <v>117</v>
      </c>
      <c r="R13" s="147" t="s">
        <v>118</v>
      </c>
      <c r="S13" s="148" t="s">
        <v>119</v>
      </c>
      <c r="T13" s="151" t="str" cm="1">
        <f t="array" ref="T13">IF(E13="","",IF(OR(ISNUMBER(SEARCH({"10.205.37";"10.205.38";"10.205.69";"10.205.31";"10.205.28";"10.205.27"},E13))),"Platform-Runtime and Azure OPS",
IF(OR(ISNUMBER(SEARCH({"10.229.16";"10.229.17";"10.229.18";"10.229.19";"10.229.20";"10.229.21";"10.229.25";"10.229.26"},E13))),"SDDC",
IF(OR(ISNUMBER(SEARCH({"10.220";"10.221";"10.222";"10.223";"10.224";"10.225";"10.229";"185.130.242"},E13))),"SDDC",
IF(OR(ISNUMBER(SEARCH({"10.226";"10.227";"10.205"},E13))),"Azure OPS and SDDC",
IF(AND(NOT(ISNUMBER(SEARCH({"10.220";"10.221";"10.222";"10.223";"10.224";"10.225";"10.229";"10.226";"10.227";"10.205";"10.205.37";"10.205.38";"10.205.69";"10.205.31";"10.205.28";"10.205.27";"10.229.16";"10.229.17";"10.229.18";"10.229.19";"10.229.20";"10.229.21";"10.229.25";"10.229.26"},E13)))),"SCT SI - OCD",""))))))</f>
        <v>SCT SI - OCD</v>
      </c>
      <c r="U13" s="152" t="str" cm="1">
        <f t="array" ref="U13">IF(J13="","",IF(OR(ISNUMBER(SEARCH({"10.205.37";"10.205.38";"10.205.69";"10.205.31";"10.205.28";"10.205.27"},J13))),"Platform-Runtime and Azure OPS",
IF(OR(ISNUMBER(SEARCH({"10.229.16";"10.229.17";"10.229.18";"10.229.19";"10.229.20";"10.229.21";"10.229.25";"10.229.26"},J13))),"SDDC",
IF(OR(ISNUMBER(SEARCH({"10.220";"10.221";"10.222";"10.223";"10.224";"10.225";"10.229";"185.130.242"},J13))),"SDDC",
IF(OR(ISNUMBER(SEARCH({"10.226";"10.227";"10.205"},J13))),"Azure OPS and SDDC",
IF(AND(NOT(ISNUMBER(SEARCH({"10.220";"10.221";"10.222";"10.223";"10.224";"10.225";"10.229";"10.226";"10.227";"10.205";"10.205.37";"10.205.38";"10.205.69";"10.205.31";"10.205.28";"10.205.27";"10.229.16";"10.229.17";"10.229.18";"10.229.19";"10.229.20";"10.229.21";"10.229.25";"10.229.26"},J13)))),"SCT SI - OCD",""))))))</f>
        <v>SCT SI - OCD</v>
      </c>
      <c r="V13" s="126"/>
    </row>
    <row r="14" spans="1:22" ht="15" x14ac:dyDescent="0.35">
      <c r="A14" s="18"/>
      <c r="B14" s="78">
        <v>16</v>
      </c>
      <c r="C14" s="169" t="e">
        <f>('3. Contact'!#REF!)</f>
        <v>#REF!</v>
      </c>
      <c r="D14" s="37"/>
      <c r="E14" s="38"/>
      <c r="F14" s="36"/>
      <c r="G14" s="36"/>
      <c r="H14" s="36"/>
      <c r="I14" s="36"/>
      <c r="J14" s="38"/>
      <c r="K14" s="36"/>
      <c r="L14" s="36"/>
      <c r="M14" s="36"/>
      <c r="N14" s="36"/>
      <c r="O14" s="159"/>
      <c r="P14" s="40"/>
      <c r="Q14" s="41" t="s">
        <v>51</v>
      </c>
      <c r="R14" s="42"/>
      <c r="S14" s="43"/>
      <c r="T14" s="44" t="str" cm="1">
        <f t="array" ref="T14">IF(E14="","",IF(OR(ISNUMBER(SEARCH({"10.205.37";"10.205.38";"10.205.69";"10.205.31";"10.205.28";"10.205.27"},E14))),"Platform-Runtime and Azure OPS",
IF(OR(ISNUMBER(SEARCH({"10.229.16";"10.229.17";"10.229.18";"10.229.19";"10.229.20";"10.229.21";"10.229.25";"10.229.26"},E14))),"SDDC",
IF(OR(ISNUMBER(SEARCH({"10.220";"10.221";"10.222";"10.223";"10.224";"10.225";"10.229";"185.130.242"},E14))),"SDDC",
IF(OR(ISNUMBER(SEARCH({"10.226";"10.227";"10.205"},E14))),"Azure OPS and SDDC",
IF(AND(NOT(ISNUMBER(SEARCH({"10.220";"10.221";"10.222";"10.223";"10.224";"10.225";"10.229";"10.226";"10.227";"10.205";"10.205.37";"10.205.38";"10.205.69";"10.205.31";"10.205.28";"10.205.27";"10.229.16";"10.229.17";"10.229.18";"10.229.19";"10.229.20";"10.229.21";"10.229.25";"10.229.26"},E14)))),"SCT SI - OCD",""))))))</f>
        <v/>
      </c>
      <c r="U14" s="50" t="str" cm="1">
        <f t="array" ref="U14">IF(J14="","",IF(OR(ISNUMBER(SEARCH({"10.205.37";"10.205.38";"10.205.69";"10.205.31";"10.205.28";"10.205.27"},J14))),"Platform-Runtime and Azure OPS",
IF(OR(ISNUMBER(SEARCH({"10.229.16";"10.229.17";"10.229.18";"10.229.19";"10.229.20";"10.229.21";"10.229.25";"10.229.26"},J14))),"SDDC",
IF(OR(ISNUMBER(SEARCH({"10.220";"10.221";"10.222";"10.223";"10.224";"10.225";"10.229";"185.130.242"},J14))),"SDDC",
IF(OR(ISNUMBER(SEARCH({"10.226";"10.227";"10.205"},J14))),"Azure OPS and SDDC",
IF(AND(NOT(ISNUMBER(SEARCH({"10.220";"10.221";"10.222";"10.223";"10.224";"10.225";"10.229";"10.226";"10.227";"10.205";"10.205.37";"10.205.38";"10.205.69";"10.205.31";"10.205.28";"10.205.27";"10.229.16";"10.229.17";"10.229.18";"10.229.19";"10.229.20";"10.229.21";"10.229.25";"10.229.26"},J14)))),"SCT SI - OCD",""))))))</f>
        <v/>
      </c>
      <c r="V14" s="126"/>
    </row>
    <row r="15" spans="1:22" ht="15" x14ac:dyDescent="0.35">
      <c r="A15" s="18"/>
      <c r="B15" s="45">
        <v>17</v>
      </c>
      <c r="C15" s="169" t="e">
        <f>('3. Contact'!#REF!)</f>
        <v>#REF!</v>
      </c>
      <c r="D15" s="47"/>
      <c r="E15" s="49"/>
      <c r="F15" s="36"/>
      <c r="G15" s="36"/>
      <c r="H15" s="36"/>
      <c r="I15" s="46"/>
      <c r="J15" s="49"/>
      <c r="K15" s="36"/>
      <c r="L15" s="36"/>
      <c r="M15" s="36"/>
      <c r="N15" s="36"/>
      <c r="O15" s="159"/>
      <c r="P15" s="40"/>
      <c r="Q15" s="41" t="s">
        <v>51</v>
      </c>
      <c r="R15" s="42"/>
      <c r="S15" s="50"/>
      <c r="T15" s="44" t="str" cm="1">
        <f t="array" ref="T15">IF(E15="","",IF(OR(ISNUMBER(SEARCH({"10.205.37";"10.205.38";"10.205.69";"10.205.31";"10.205.28";"10.205.27"},E15))),"Platform-Runtime and Azure OPS",
IF(OR(ISNUMBER(SEARCH({"10.229.16";"10.229.17";"10.229.18";"10.229.19";"10.229.20";"10.229.21";"10.229.25";"10.229.26"},E15))),"SDDC",
IF(OR(ISNUMBER(SEARCH({"10.220";"10.221";"10.222";"10.223";"10.224";"10.225";"10.229";"185.130.242"},E15))),"SDDC",
IF(OR(ISNUMBER(SEARCH({"10.226";"10.227";"10.205"},E15))),"Azure OPS and SDDC",
IF(AND(NOT(ISNUMBER(SEARCH({"10.220";"10.221";"10.222";"10.223";"10.224";"10.225";"10.229";"10.226";"10.227";"10.205";"10.205.37";"10.205.38";"10.205.69";"10.205.31";"10.205.28";"10.205.27";"10.229.16";"10.229.17";"10.229.18";"10.229.19";"10.229.20";"10.229.21";"10.229.25";"10.229.26"},E15)))),"SCT SI - OCD",""))))))</f>
        <v/>
      </c>
      <c r="U15" s="50" t="str" cm="1">
        <f t="array" ref="U15">IF(J15="","",IF(OR(ISNUMBER(SEARCH({"10.205.37";"10.205.38";"10.205.69";"10.205.31";"10.205.28";"10.205.27"},J15))),"Platform-Runtime and Azure OPS",
IF(OR(ISNUMBER(SEARCH({"10.229.16";"10.229.17";"10.229.18";"10.229.19";"10.229.20";"10.229.21";"10.229.25";"10.229.26"},J15))),"SDDC",
IF(OR(ISNUMBER(SEARCH({"10.220";"10.221";"10.222";"10.223";"10.224";"10.225";"10.229";"185.130.242"},J15))),"SDDC",
IF(OR(ISNUMBER(SEARCH({"10.226";"10.227";"10.205"},J15))),"Azure OPS and SDDC",
IF(AND(NOT(ISNUMBER(SEARCH({"10.220";"10.221";"10.222";"10.223";"10.224";"10.225";"10.229";"10.226";"10.227";"10.205";"10.205.37";"10.205.38";"10.205.69";"10.205.31";"10.205.28";"10.205.27";"10.229.16";"10.229.17";"10.229.18";"10.229.19";"10.229.20";"10.229.21";"10.229.25";"10.229.26"},J15)))),"SCT SI - OCD",""))))))</f>
        <v/>
      </c>
      <c r="V15" s="126"/>
    </row>
    <row r="16" spans="1:22" ht="15" x14ac:dyDescent="0.35">
      <c r="A16" s="18"/>
      <c r="B16" s="45">
        <v>18</v>
      </c>
      <c r="C16" s="169" t="e">
        <f>('3. Contact'!#REF!)</f>
        <v>#REF!</v>
      </c>
      <c r="D16" s="47"/>
      <c r="E16" s="124"/>
      <c r="F16" s="46"/>
      <c r="G16" s="36"/>
      <c r="H16" s="46"/>
      <c r="I16" s="46"/>
      <c r="J16" s="49"/>
      <c r="K16" s="36"/>
      <c r="L16" s="36"/>
      <c r="M16" s="36"/>
      <c r="N16" s="36"/>
      <c r="O16" s="159"/>
      <c r="P16" s="40"/>
      <c r="Q16" s="41" t="s">
        <v>51</v>
      </c>
      <c r="R16" s="42"/>
      <c r="S16" s="50"/>
      <c r="T16" s="44" t="str" cm="1">
        <f t="array" ref="T16">IF(E16="","",IF(OR(ISNUMBER(SEARCH({"10.205.37";"10.205.38";"10.205.69";"10.205.31";"10.205.28";"10.205.27"},E16))),"Platform-Runtime and Azure OPS",
IF(OR(ISNUMBER(SEARCH({"10.229.16";"10.229.17";"10.229.18";"10.229.19";"10.229.20";"10.229.21";"10.229.25";"10.229.26"},E16))),"SDDC",
IF(OR(ISNUMBER(SEARCH({"10.220";"10.221";"10.222";"10.223";"10.224";"10.225";"10.229";"185.130.242"},E16))),"SDDC",
IF(OR(ISNUMBER(SEARCH({"10.226";"10.227";"10.205"},E16))),"Azure OPS and SDDC",
IF(AND(NOT(ISNUMBER(SEARCH({"10.220";"10.221";"10.222";"10.223";"10.224";"10.225";"10.229";"10.226";"10.227";"10.205";"10.205.37";"10.205.38";"10.205.69";"10.205.31";"10.205.28";"10.205.27";"10.229.16";"10.229.17";"10.229.18";"10.229.19";"10.229.20";"10.229.21";"10.229.25";"10.229.26"},E16)))),"SCT SI - OCD",""))))))</f>
        <v/>
      </c>
      <c r="U16" s="50" t="str" cm="1">
        <f t="array" ref="U16">IF(J16="","",IF(OR(ISNUMBER(SEARCH({"10.205.37";"10.205.38";"10.205.69";"10.205.31";"10.205.28";"10.205.27"},J16))),"Platform-Runtime and Azure OPS",
IF(OR(ISNUMBER(SEARCH({"10.229.16";"10.229.17";"10.229.18";"10.229.19";"10.229.20";"10.229.21";"10.229.25";"10.229.26"},J16))),"SDDC",
IF(OR(ISNUMBER(SEARCH({"10.220";"10.221";"10.222";"10.223";"10.224";"10.225";"10.229";"185.130.242"},J16))),"SDDC",
IF(OR(ISNUMBER(SEARCH({"10.226";"10.227";"10.205"},J16))),"Azure OPS and SDDC",
IF(AND(NOT(ISNUMBER(SEARCH({"10.220";"10.221";"10.222";"10.223";"10.224";"10.225";"10.229";"10.226";"10.227";"10.205";"10.205.37";"10.205.38";"10.205.69";"10.205.31";"10.205.28";"10.205.27";"10.229.16";"10.229.17";"10.229.18";"10.229.19";"10.229.20";"10.229.21";"10.229.25";"10.229.26"},J16)))),"SCT SI - OCD",""))))))</f>
        <v/>
      </c>
      <c r="V16" s="126"/>
    </row>
    <row r="17" spans="1:22" ht="15" x14ac:dyDescent="0.35">
      <c r="A17" s="18"/>
      <c r="B17" s="45">
        <v>19</v>
      </c>
      <c r="C17" s="169" t="e">
        <f>('3. Contact'!#REF!)</f>
        <v>#REF!</v>
      </c>
      <c r="D17" s="47"/>
      <c r="E17" s="49"/>
      <c r="F17" s="46"/>
      <c r="G17" s="36"/>
      <c r="H17" s="46"/>
      <c r="I17" s="46"/>
      <c r="J17" s="49"/>
      <c r="K17" s="36"/>
      <c r="L17" s="36"/>
      <c r="M17" s="36"/>
      <c r="N17" s="36"/>
      <c r="O17" s="159"/>
      <c r="P17" s="40"/>
      <c r="Q17" s="41" t="s">
        <v>51</v>
      </c>
      <c r="R17" s="42"/>
      <c r="S17" s="50"/>
      <c r="T17" s="44" t="str" cm="1">
        <f t="array" ref="T17">IF(E17="","",IF(OR(ISNUMBER(SEARCH({"10.205.37";"10.205.38";"10.205.69";"10.205.31";"10.205.28";"10.205.27"},E17))),"Platform-Runtime and Azure OPS",
IF(OR(ISNUMBER(SEARCH({"10.229.16";"10.229.17";"10.229.18";"10.229.19";"10.229.20";"10.229.21";"10.229.25";"10.229.26"},E17))),"SDDC",
IF(OR(ISNUMBER(SEARCH({"10.220";"10.221";"10.222";"10.223";"10.224";"10.225";"10.229";"185.130.242"},E17))),"SDDC",
IF(OR(ISNUMBER(SEARCH({"10.226";"10.227";"10.205"},E17))),"Azure OPS and SDDC",
IF(AND(NOT(ISNUMBER(SEARCH({"10.220";"10.221";"10.222";"10.223";"10.224";"10.225";"10.229";"10.226";"10.227";"10.205";"10.205.37";"10.205.38";"10.205.69";"10.205.31";"10.205.28";"10.205.27";"10.229.16";"10.229.17";"10.229.18";"10.229.19";"10.229.20";"10.229.21";"10.229.25";"10.229.26"},E17)))),"SCT SI - OCD",""))))))</f>
        <v/>
      </c>
      <c r="U17" s="50" t="str" cm="1">
        <f t="array" ref="U17">IF(J17="","",IF(OR(ISNUMBER(SEARCH({"10.205.37";"10.205.38";"10.205.69";"10.205.31";"10.205.28";"10.205.27"},J17))),"Platform-Runtime and Azure OPS",
IF(OR(ISNUMBER(SEARCH({"10.229.16";"10.229.17";"10.229.18";"10.229.19";"10.229.20";"10.229.21";"10.229.25";"10.229.26"},J17))),"SDDC",
IF(OR(ISNUMBER(SEARCH({"10.220";"10.221";"10.222";"10.223";"10.224";"10.225";"10.229";"185.130.242"},J17))),"SDDC",
IF(OR(ISNUMBER(SEARCH({"10.226";"10.227";"10.205"},J17))),"Azure OPS and SDDC",
IF(AND(NOT(ISNUMBER(SEARCH({"10.220";"10.221";"10.222";"10.223";"10.224";"10.225";"10.229";"10.226";"10.227";"10.205";"10.205.37";"10.205.38";"10.205.69";"10.205.31";"10.205.28";"10.205.27";"10.229.16";"10.229.17";"10.229.18";"10.229.19";"10.229.20";"10.229.21";"10.229.25";"10.229.26"},J17)))),"SCT SI - OCD",""))))))</f>
        <v/>
      </c>
      <c r="V17" s="126"/>
    </row>
    <row r="18" spans="1:22" ht="15" x14ac:dyDescent="0.35">
      <c r="A18" s="18"/>
      <c r="B18" s="45">
        <v>20</v>
      </c>
      <c r="C18" s="169" t="e">
        <f>('3. Contact'!#REF!)</f>
        <v>#REF!</v>
      </c>
      <c r="D18" s="47"/>
      <c r="E18" s="49"/>
      <c r="F18" s="46"/>
      <c r="G18" s="36"/>
      <c r="H18" s="46"/>
      <c r="I18" s="46"/>
      <c r="J18" s="49"/>
      <c r="K18" s="36"/>
      <c r="L18" s="36"/>
      <c r="M18" s="36"/>
      <c r="N18" s="36"/>
      <c r="O18" s="159"/>
      <c r="P18" s="40"/>
      <c r="Q18" s="41" t="s">
        <v>51</v>
      </c>
      <c r="R18" s="42"/>
      <c r="S18" s="50"/>
      <c r="T18" s="44" t="str" cm="1">
        <f t="array" ref="T18">IF(E18="","",IF(OR(ISNUMBER(SEARCH({"10.205.37";"10.205.38";"10.205.69";"10.205.31";"10.205.28";"10.205.27"},E18))),"Platform-Runtime and Azure OPS",
IF(OR(ISNUMBER(SEARCH({"10.229.16";"10.229.17";"10.229.18";"10.229.19";"10.229.20";"10.229.21";"10.229.25";"10.229.26"},E18))),"SDDC",
IF(OR(ISNUMBER(SEARCH({"10.220";"10.221";"10.222";"10.223";"10.224";"10.225";"10.229";"185.130.242"},E18))),"SDDC",
IF(OR(ISNUMBER(SEARCH({"10.226";"10.227";"10.205"},E18))),"Azure OPS and SDDC",
IF(AND(NOT(ISNUMBER(SEARCH({"10.220";"10.221";"10.222";"10.223";"10.224";"10.225";"10.229";"10.226";"10.227";"10.205";"10.205.37";"10.205.38";"10.205.69";"10.205.31";"10.205.28";"10.205.27";"10.229.16";"10.229.17";"10.229.18";"10.229.19";"10.229.20";"10.229.21";"10.229.25";"10.229.26"},E18)))),"SCT SI - OCD",""))))))</f>
        <v/>
      </c>
      <c r="U18" s="50" t="str" cm="1">
        <f t="array" ref="U18">IF(J18="","",IF(OR(ISNUMBER(SEARCH({"10.205.37";"10.205.38";"10.205.69";"10.205.31";"10.205.28";"10.205.27"},J18))),"Platform-Runtime and Azure OPS",
IF(OR(ISNUMBER(SEARCH({"10.229.16";"10.229.17";"10.229.18";"10.229.19";"10.229.20";"10.229.21";"10.229.25";"10.229.26"},J18))),"SDDC",
IF(OR(ISNUMBER(SEARCH({"10.220";"10.221";"10.222";"10.223";"10.224";"10.225";"10.229";"185.130.242"},J18))),"SDDC",
IF(OR(ISNUMBER(SEARCH({"10.226";"10.227";"10.205"},J18))),"Azure OPS and SDDC",
IF(AND(NOT(ISNUMBER(SEARCH({"10.220";"10.221";"10.222";"10.223";"10.224";"10.225";"10.229";"10.226";"10.227";"10.205";"10.205.37";"10.205.38";"10.205.69";"10.205.31";"10.205.28";"10.205.27";"10.229.16";"10.229.17";"10.229.18";"10.229.19";"10.229.20";"10.229.21";"10.229.25";"10.229.26"},J18)))),"SCT SI - OCD",""))))))</f>
        <v/>
      </c>
      <c r="V18" s="126"/>
    </row>
    <row r="19" spans="1:22" ht="15" x14ac:dyDescent="0.35">
      <c r="A19" s="18"/>
      <c r="B19" s="45">
        <v>21</v>
      </c>
      <c r="C19" s="169" t="e">
        <f>('3. Contact'!#REF!)</f>
        <v>#REF!</v>
      </c>
      <c r="D19" s="47"/>
      <c r="E19" s="49"/>
      <c r="F19" s="46"/>
      <c r="G19" s="36"/>
      <c r="H19" s="46"/>
      <c r="I19" s="46"/>
      <c r="J19" s="49"/>
      <c r="K19" s="36"/>
      <c r="L19" s="36"/>
      <c r="M19" s="36"/>
      <c r="N19" s="36"/>
      <c r="O19" s="159"/>
      <c r="P19" s="40"/>
      <c r="Q19" s="41" t="s">
        <v>51</v>
      </c>
      <c r="R19" s="42"/>
      <c r="S19" s="50"/>
      <c r="T19" s="44" t="str" cm="1">
        <f t="array" ref="T19">IF(E19="","",IF(OR(ISNUMBER(SEARCH({"10.205.37";"10.205.38";"10.205.69";"10.205.31";"10.205.28";"10.205.27"},E19))),"Platform-Runtime and Azure OPS",
IF(OR(ISNUMBER(SEARCH({"10.229.16";"10.229.17";"10.229.18";"10.229.19";"10.229.20";"10.229.21";"10.229.25";"10.229.26"},E19))),"SDDC",
IF(OR(ISNUMBER(SEARCH({"10.220";"10.221";"10.222";"10.223";"10.224";"10.225";"10.229";"185.130.242"},E19))),"SDDC",
IF(OR(ISNUMBER(SEARCH({"10.226";"10.227";"10.205"},E19))),"Azure OPS and SDDC",
IF(AND(NOT(ISNUMBER(SEARCH({"10.220";"10.221";"10.222";"10.223";"10.224";"10.225";"10.229";"10.226";"10.227";"10.205";"10.205.37";"10.205.38";"10.205.69";"10.205.31";"10.205.28";"10.205.27";"10.229.16";"10.229.17";"10.229.18";"10.229.19";"10.229.20";"10.229.21";"10.229.25";"10.229.26"},E19)))),"SCT SI - OCD",""))))))</f>
        <v/>
      </c>
      <c r="U19" s="50" t="str" cm="1">
        <f t="array" ref="U19">IF(J19="","",IF(OR(ISNUMBER(SEARCH({"10.205.37";"10.205.38";"10.205.69";"10.205.31";"10.205.28";"10.205.27"},J19))),"Platform-Runtime and Azure OPS",
IF(OR(ISNUMBER(SEARCH({"10.229.16";"10.229.17";"10.229.18";"10.229.19";"10.229.20";"10.229.21";"10.229.25";"10.229.26"},J19))),"SDDC",
IF(OR(ISNUMBER(SEARCH({"10.220";"10.221";"10.222";"10.223";"10.224";"10.225";"10.229";"185.130.242"},J19))),"SDDC",
IF(OR(ISNUMBER(SEARCH({"10.226";"10.227";"10.205"},J19))),"Azure OPS and SDDC",
IF(AND(NOT(ISNUMBER(SEARCH({"10.220";"10.221";"10.222";"10.223";"10.224";"10.225";"10.229";"10.226";"10.227";"10.205";"10.205.37";"10.205.38";"10.205.69";"10.205.31";"10.205.28";"10.205.27";"10.229.16";"10.229.17";"10.229.18";"10.229.19";"10.229.20";"10.229.21";"10.229.25";"10.229.26"},J19)))),"SCT SI - OCD",""))))))</f>
        <v/>
      </c>
      <c r="V19" s="126"/>
    </row>
    <row r="20" spans="1:22" ht="15" x14ac:dyDescent="0.35">
      <c r="A20" s="18"/>
      <c r="B20" s="45">
        <v>22</v>
      </c>
      <c r="C20" s="169" t="e">
        <f>('3. Contact'!#REF!)</f>
        <v>#REF!</v>
      </c>
      <c r="D20" s="47"/>
      <c r="E20" s="49"/>
      <c r="F20" s="46"/>
      <c r="G20" s="36"/>
      <c r="H20" s="46"/>
      <c r="I20" s="46"/>
      <c r="J20" s="49"/>
      <c r="K20" s="36"/>
      <c r="L20" s="36"/>
      <c r="M20" s="36"/>
      <c r="N20" s="36"/>
      <c r="O20" s="159"/>
      <c r="P20" s="40"/>
      <c r="Q20" s="41" t="s">
        <v>51</v>
      </c>
      <c r="R20" s="42"/>
      <c r="S20" s="50"/>
      <c r="T20" s="44" t="str" cm="1">
        <f t="array" ref="T20">IF(E20="","",IF(OR(ISNUMBER(SEARCH({"10.205.37";"10.205.38";"10.205.69";"10.205.31";"10.205.28";"10.205.27"},E20))),"Platform-Runtime and Azure OPS",
IF(OR(ISNUMBER(SEARCH({"10.229.16";"10.229.17";"10.229.18";"10.229.19";"10.229.20";"10.229.21";"10.229.25";"10.229.26"},E20))),"SDDC",
IF(OR(ISNUMBER(SEARCH({"10.220";"10.221";"10.222";"10.223";"10.224";"10.225";"10.229";"185.130.242"},E20))),"SDDC",
IF(OR(ISNUMBER(SEARCH({"10.226";"10.227";"10.205"},E20))),"Azure OPS and SDDC",
IF(AND(NOT(ISNUMBER(SEARCH({"10.220";"10.221";"10.222";"10.223";"10.224";"10.225";"10.229";"10.226";"10.227";"10.205";"10.205.37";"10.205.38";"10.205.69";"10.205.31";"10.205.28";"10.205.27";"10.229.16";"10.229.17";"10.229.18";"10.229.19";"10.229.20";"10.229.21";"10.229.25";"10.229.26"},E20)))),"SCT SI - OCD",""))))))</f>
        <v/>
      </c>
      <c r="U20" s="50" t="str" cm="1">
        <f t="array" ref="U20">IF(J20="","",IF(OR(ISNUMBER(SEARCH({"10.205.37";"10.205.38";"10.205.69";"10.205.31";"10.205.28";"10.205.27"},J20))),"Platform-Runtime and Azure OPS",
IF(OR(ISNUMBER(SEARCH({"10.229.16";"10.229.17";"10.229.18";"10.229.19";"10.229.20";"10.229.21";"10.229.25";"10.229.26"},J20))),"SDDC",
IF(OR(ISNUMBER(SEARCH({"10.220";"10.221";"10.222";"10.223";"10.224";"10.225";"10.229";"185.130.242"},J20))),"SDDC",
IF(OR(ISNUMBER(SEARCH({"10.226";"10.227";"10.205"},J20))),"Azure OPS and SDDC",
IF(AND(NOT(ISNUMBER(SEARCH({"10.220";"10.221";"10.222";"10.223";"10.224";"10.225";"10.229";"10.226";"10.227";"10.205";"10.205.37";"10.205.38";"10.205.69";"10.205.31";"10.205.28";"10.205.27";"10.229.16";"10.229.17";"10.229.18";"10.229.19";"10.229.20";"10.229.21";"10.229.25";"10.229.26"},J20)))),"SCT SI - OCD",""))))))</f>
        <v/>
      </c>
      <c r="V20" s="126"/>
    </row>
    <row r="21" spans="1:22" ht="15" x14ac:dyDescent="0.35">
      <c r="A21" s="18"/>
      <c r="B21" s="45">
        <v>23</v>
      </c>
      <c r="C21" s="169" t="e">
        <f>('3. Contact'!#REF!)</f>
        <v>#REF!</v>
      </c>
      <c r="D21" s="47"/>
      <c r="E21" s="49"/>
      <c r="F21" s="46"/>
      <c r="G21" s="36"/>
      <c r="H21" s="46"/>
      <c r="I21" s="46"/>
      <c r="J21" s="49"/>
      <c r="K21" s="36"/>
      <c r="L21" s="36"/>
      <c r="M21" s="36"/>
      <c r="N21" s="36"/>
      <c r="O21" s="159"/>
      <c r="P21" s="40"/>
      <c r="Q21" s="41" t="s">
        <v>51</v>
      </c>
      <c r="R21" s="42"/>
      <c r="S21" s="50"/>
      <c r="T21" s="44" t="str" cm="1">
        <f t="array" ref="T21">IF(E21="","",IF(OR(ISNUMBER(SEARCH({"10.205.37";"10.205.38";"10.205.69";"10.205.31";"10.205.28";"10.205.27"},E21))),"Platform-Runtime and Azure OPS",
IF(OR(ISNUMBER(SEARCH({"10.229.16";"10.229.17";"10.229.18";"10.229.19";"10.229.20";"10.229.21";"10.229.25";"10.229.26"},E21))),"SDDC",
IF(OR(ISNUMBER(SEARCH({"10.220";"10.221";"10.222";"10.223";"10.224";"10.225";"10.229";"185.130.242"},E21))),"SDDC",
IF(OR(ISNUMBER(SEARCH({"10.226";"10.227";"10.205"},E21))),"Azure OPS and SDDC",
IF(AND(NOT(ISNUMBER(SEARCH({"10.220";"10.221";"10.222";"10.223";"10.224";"10.225";"10.229";"10.226";"10.227";"10.205";"10.205.37";"10.205.38";"10.205.69";"10.205.31";"10.205.28";"10.205.27";"10.229.16";"10.229.17";"10.229.18";"10.229.19";"10.229.20";"10.229.21";"10.229.25";"10.229.26"},E21)))),"SCT SI - OCD",""))))))</f>
        <v/>
      </c>
      <c r="U21" s="134" t="str" cm="1">
        <f t="array" ref="U21">IF(J21="","",IF(OR(ISNUMBER(SEARCH({"10.205.37";"10.205.38";"10.205.69";"10.205.31";"10.205.28";"10.205.27"},J21))),"Platform-Runtime and Azure OPS",
IF(OR(ISNUMBER(SEARCH({"10.229.16";"10.229.17";"10.229.18";"10.229.19";"10.229.20";"10.229.21";"10.229.25";"10.229.26"},J21))),"SDDC",
IF(OR(ISNUMBER(SEARCH({"10.220";"10.221";"10.222";"10.223";"10.224";"10.225";"10.229";"185.130.242"},J21))),"SDDC",
IF(OR(ISNUMBER(SEARCH({"10.226";"10.227";"10.205"},J21))),"Azure OPS and SDDC",
IF(AND(NOT(ISNUMBER(SEARCH({"10.220";"10.221";"10.222";"10.223";"10.224";"10.225";"10.229";"10.226";"10.227";"10.205";"10.205.37";"10.205.38";"10.205.69";"10.205.31";"10.205.28";"10.205.27";"10.229.16";"10.229.17";"10.229.18";"10.229.19";"10.229.20";"10.229.21";"10.229.25";"10.229.26"},J21)))),"SCT SI - OCD",""))))))</f>
        <v/>
      </c>
      <c r="V21" s="18"/>
    </row>
    <row r="22" spans="1:22" ht="15" x14ac:dyDescent="0.35">
      <c r="A22" s="18"/>
      <c r="B22" s="45">
        <v>24</v>
      </c>
      <c r="C22" s="169" t="e">
        <f>('3. Contact'!#REF!)</f>
        <v>#REF!</v>
      </c>
      <c r="D22" s="47"/>
      <c r="E22" s="48"/>
      <c r="F22" s="46"/>
      <c r="G22" s="36"/>
      <c r="H22" s="46"/>
      <c r="I22" s="46"/>
      <c r="J22" s="49"/>
      <c r="K22" s="36"/>
      <c r="L22" s="36"/>
      <c r="M22" s="36"/>
      <c r="N22" s="36"/>
      <c r="O22" s="159"/>
      <c r="P22" s="40"/>
      <c r="Q22" s="41" t="s">
        <v>51</v>
      </c>
      <c r="R22" s="42"/>
      <c r="S22" s="50"/>
      <c r="T22" s="44" t="str" cm="1">
        <f t="array" ref="T22">IF(E22="","",IF(OR(ISNUMBER(SEARCH({"10.205.37";"10.205.38";"10.205.69";"10.205.31";"10.205.28";"10.205.27"},E22))),"Platform-Runtime and Azure OPS",
IF(OR(ISNUMBER(SEARCH({"10.229.16";"10.229.17";"10.229.18";"10.229.19";"10.229.20";"10.229.21";"10.229.25";"10.229.26"},E22))),"SDDC",
IF(OR(ISNUMBER(SEARCH({"10.220";"10.221";"10.222";"10.223";"10.224";"10.225";"10.229";"185.130.242"},E22))),"SDDC",
IF(OR(ISNUMBER(SEARCH({"10.226";"10.227";"10.205"},E22))),"Azure OPS and SDDC",
IF(AND(NOT(ISNUMBER(SEARCH({"10.220";"10.221";"10.222";"10.223";"10.224";"10.225";"10.229";"10.226";"10.227";"10.205";"10.205.37";"10.205.38";"10.205.69";"10.205.31";"10.205.28";"10.205.27";"10.229.16";"10.229.17";"10.229.18";"10.229.19";"10.229.20";"10.229.21";"10.229.25";"10.229.26"},E22)))),"SCT SI - OCD",""))))))</f>
        <v/>
      </c>
      <c r="U22" s="134" t="str" cm="1">
        <f t="array" ref="U22">IF(J22="","",IF(OR(ISNUMBER(SEARCH({"10.205.37";"10.205.38";"10.205.69";"10.205.31";"10.205.28";"10.205.27"},J22))),"Platform-Runtime and Azure OPS",
IF(OR(ISNUMBER(SEARCH({"10.229.16";"10.229.17";"10.229.18";"10.229.19";"10.229.20";"10.229.21";"10.229.25";"10.229.26"},J22))),"SDDC",
IF(OR(ISNUMBER(SEARCH({"10.220";"10.221";"10.222";"10.223";"10.224";"10.225";"10.229";"185.130.242"},J22))),"SDDC",
IF(OR(ISNUMBER(SEARCH({"10.226";"10.227";"10.205"},J22))),"Azure OPS and SDDC",
IF(AND(NOT(ISNUMBER(SEARCH({"10.220";"10.221";"10.222";"10.223";"10.224";"10.225";"10.229";"10.226";"10.227";"10.205";"10.205.37";"10.205.38";"10.205.69";"10.205.31";"10.205.28";"10.205.27";"10.229.16";"10.229.17";"10.229.18";"10.229.19";"10.229.20";"10.229.21";"10.229.25";"10.229.26"},J22)))),"SCT SI - OCD",""))))))</f>
        <v/>
      </c>
      <c r="V22" s="18"/>
    </row>
    <row r="23" spans="1:22" ht="15" x14ac:dyDescent="0.35">
      <c r="A23" s="18"/>
      <c r="B23" s="45">
        <v>25</v>
      </c>
      <c r="C23" s="169" t="e">
        <f>('3. Contact'!#REF!)</f>
        <v>#REF!</v>
      </c>
      <c r="D23" s="47"/>
      <c r="E23" s="48"/>
      <c r="F23" s="46"/>
      <c r="G23" s="36"/>
      <c r="H23" s="46"/>
      <c r="I23" s="46"/>
      <c r="J23" s="49"/>
      <c r="K23" s="36"/>
      <c r="L23" s="36"/>
      <c r="M23" s="36"/>
      <c r="N23" s="36"/>
      <c r="O23" s="159"/>
      <c r="P23" s="40"/>
      <c r="Q23" s="41" t="s">
        <v>51</v>
      </c>
      <c r="R23" s="42"/>
      <c r="S23" s="50"/>
      <c r="T23" s="44" t="str" cm="1">
        <f t="array" ref="T23">IF(E23="","",IF(OR(ISNUMBER(SEARCH({"10.205.37";"10.205.38";"10.205.69";"10.205.31";"10.205.28";"10.205.27"},E23))),"Platform-Runtime and Azure OPS",
IF(OR(ISNUMBER(SEARCH({"10.229.16";"10.229.17";"10.229.18";"10.229.19";"10.229.20";"10.229.21";"10.229.25";"10.229.26"},E23))),"SDDC",
IF(OR(ISNUMBER(SEARCH({"10.220";"10.221";"10.222";"10.223";"10.224";"10.225";"10.229";"185.130.242"},E23))),"SDDC",
IF(OR(ISNUMBER(SEARCH({"10.226";"10.227";"10.205"},E23))),"Azure OPS and SDDC",
IF(AND(NOT(ISNUMBER(SEARCH({"10.220";"10.221";"10.222";"10.223";"10.224";"10.225";"10.229";"10.226";"10.227";"10.205";"10.205.37";"10.205.38";"10.205.69";"10.205.31";"10.205.28";"10.205.27";"10.229.16";"10.229.17";"10.229.18";"10.229.19";"10.229.20";"10.229.21";"10.229.25";"10.229.26"},E23)))),"SCT SI - OCD",""))))))</f>
        <v/>
      </c>
      <c r="U23" s="50" t="str" cm="1">
        <f t="array" ref="U23">IF(J23="","",IF(OR(ISNUMBER(SEARCH({"10.205.37";"10.205.38";"10.205.69";"10.205.31";"10.205.28";"10.205.27"},J23))),"Platform-Runtime and Azure OPS",
IF(OR(ISNUMBER(SEARCH({"10.229.16";"10.229.17";"10.229.18";"10.229.19";"10.229.20";"10.229.21";"10.229.25";"10.229.26"},J23))),"SDDC",
IF(OR(ISNUMBER(SEARCH({"10.220";"10.221";"10.222";"10.223";"10.224";"10.225";"10.229";"185.130.242"},J23))),"SDDC",
IF(OR(ISNUMBER(SEARCH({"10.226";"10.227";"10.205"},J23))),"Azure OPS and SDDC",
IF(AND(NOT(ISNUMBER(SEARCH({"10.220";"10.221";"10.222";"10.223";"10.224";"10.225";"10.229";"10.226";"10.227";"10.205";"10.205.37";"10.205.38";"10.205.69";"10.205.31";"10.205.28";"10.205.27";"10.229.16";"10.229.17";"10.229.18";"10.229.19";"10.229.20";"10.229.21";"10.229.25";"10.229.26"},J23)))),"SCT SI - OCD",""))))))</f>
        <v/>
      </c>
      <c r="V23" s="126"/>
    </row>
    <row r="24" spans="1:22" ht="15" x14ac:dyDescent="0.35">
      <c r="A24" s="18"/>
      <c r="B24" s="45">
        <v>26</v>
      </c>
      <c r="C24" s="169" t="e">
        <f>('3. Contact'!#REF!)</f>
        <v>#REF!</v>
      </c>
      <c r="D24" s="47"/>
      <c r="E24" s="48"/>
      <c r="F24" s="36"/>
      <c r="G24" s="36"/>
      <c r="H24" s="46"/>
      <c r="I24" s="46"/>
      <c r="J24" s="49"/>
      <c r="K24" s="51"/>
      <c r="L24" s="36"/>
      <c r="M24" s="36"/>
      <c r="N24" s="36"/>
      <c r="O24" s="159"/>
      <c r="P24" s="40"/>
      <c r="Q24" s="41" t="s">
        <v>51</v>
      </c>
      <c r="R24" s="42"/>
      <c r="S24" s="50"/>
      <c r="T24" s="44" t="str" cm="1">
        <f t="array" ref="T24">IF(E24="","",IF(OR(ISNUMBER(SEARCH({"10.205.37";"10.205.38";"10.205.69";"10.205.31";"10.205.28";"10.205.27"},E24))),"Platform-Runtime and Azure OPS",
IF(OR(ISNUMBER(SEARCH({"10.229.16";"10.229.17";"10.229.18";"10.229.19";"10.229.20";"10.229.21";"10.229.25";"10.229.26"},E24))),"SDDC",
IF(OR(ISNUMBER(SEARCH({"10.220";"10.221";"10.222";"10.223";"10.224";"10.225";"10.229";"185.130.242"},E24))),"SDDC",
IF(OR(ISNUMBER(SEARCH({"10.226";"10.227";"10.205"},E24))),"Azure OPS and SDDC",
IF(AND(NOT(ISNUMBER(SEARCH({"10.220";"10.221";"10.222";"10.223";"10.224";"10.225";"10.229";"10.226";"10.227";"10.205";"10.205.37";"10.205.38";"10.205.69";"10.205.31";"10.205.28";"10.205.27";"10.229.16";"10.229.17";"10.229.18";"10.229.19";"10.229.20";"10.229.21";"10.229.25";"10.229.26"},E24)))),"SCT SI - OCD",""))))))</f>
        <v/>
      </c>
      <c r="U24" s="50" t="str" cm="1">
        <f t="array" ref="U24">IF(J24="","",IF(OR(ISNUMBER(SEARCH({"10.205.37";"10.205.38";"10.205.69";"10.205.31";"10.205.28";"10.205.27"},J24))),"Platform-Runtime and Azure OPS",
IF(OR(ISNUMBER(SEARCH({"10.229.16";"10.229.17";"10.229.18";"10.229.19";"10.229.20";"10.229.21";"10.229.25";"10.229.26"},J24))),"SDDC",
IF(OR(ISNUMBER(SEARCH({"10.220";"10.221";"10.222";"10.223";"10.224";"10.225";"10.229";"185.130.242"},J24))),"SDDC",
IF(OR(ISNUMBER(SEARCH({"10.226";"10.227";"10.205"},J24))),"Azure OPS and SDDC",
IF(AND(NOT(ISNUMBER(SEARCH({"10.220";"10.221";"10.222";"10.223";"10.224";"10.225";"10.229";"10.226";"10.227";"10.205";"10.205.37";"10.205.38";"10.205.69";"10.205.31";"10.205.28";"10.205.27";"10.229.16";"10.229.17";"10.229.18";"10.229.19";"10.229.20";"10.229.21";"10.229.25";"10.229.26"},J24)))),"SCT SI - OCD",""))))))</f>
        <v/>
      </c>
      <c r="V24" s="126"/>
    </row>
    <row r="25" spans="1:22" ht="15" x14ac:dyDescent="0.35">
      <c r="A25" s="18"/>
      <c r="B25" s="45">
        <v>27</v>
      </c>
      <c r="C25" s="169" t="e">
        <f>('3. Contact'!#REF!)</f>
        <v>#REF!</v>
      </c>
      <c r="D25" s="47"/>
      <c r="E25" s="48"/>
      <c r="F25" s="46"/>
      <c r="G25" s="36"/>
      <c r="H25" s="46"/>
      <c r="I25" s="46"/>
      <c r="J25" s="49"/>
      <c r="K25" s="36"/>
      <c r="L25" s="36"/>
      <c r="M25" s="36"/>
      <c r="N25" s="36"/>
      <c r="O25" s="159"/>
      <c r="P25" s="40"/>
      <c r="Q25" s="41" t="s">
        <v>51</v>
      </c>
      <c r="R25" s="42"/>
      <c r="S25" s="50"/>
      <c r="T25" s="44" t="str" cm="1">
        <f t="array" ref="T25">IF(E25="","",IF(OR(ISNUMBER(SEARCH({"10.205.37";"10.205.38";"10.205.69";"10.205.31";"10.205.28";"10.205.27"},E25))),"Platform-Runtime and Azure OPS",
IF(OR(ISNUMBER(SEARCH({"10.229.16";"10.229.17";"10.229.18";"10.229.19";"10.229.20";"10.229.21";"10.229.25";"10.229.26"},E25))),"SDDC",
IF(OR(ISNUMBER(SEARCH({"10.220";"10.221";"10.222";"10.223";"10.224";"10.225";"10.229";"185.130.242"},E25))),"SDDC",
IF(OR(ISNUMBER(SEARCH({"10.226";"10.227";"10.205"},E25))),"Azure OPS and SDDC",
IF(AND(NOT(ISNUMBER(SEARCH({"10.220";"10.221";"10.222";"10.223";"10.224";"10.225";"10.229";"10.226";"10.227";"10.205";"10.205.37";"10.205.38";"10.205.69";"10.205.31";"10.205.28";"10.205.27";"10.229.16";"10.229.17";"10.229.18";"10.229.19";"10.229.20";"10.229.21";"10.229.25";"10.229.26"},E25)))),"SCT SI - OCD",""))))))</f>
        <v/>
      </c>
      <c r="U25" s="134" t="str" cm="1">
        <f t="array" ref="U25">IF(J25="","",IF(OR(ISNUMBER(SEARCH({"10.205.37";"10.205.38";"10.205.69";"10.205.31";"10.205.28";"10.205.27"},J25))),"Platform-Runtime and Azure OPS",
IF(OR(ISNUMBER(SEARCH({"10.229.16";"10.229.17";"10.229.18";"10.229.19";"10.229.20";"10.229.21";"10.229.25";"10.229.26"},J25))),"SDDC",
IF(OR(ISNUMBER(SEARCH({"10.220";"10.221";"10.222";"10.223";"10.224";"10.225";"10.229";"185.130.242"},J25))),"SDDC",
IF(OR(ISNUMBER(SEARCH({"10.226";"10.227";"10.205"},J25))),"Azure OPS and SDDC",
IF(AND(NOT(ISNUMBER(SEARCH({"10.220";"10.221";"10.222";"10.223";"10.224";"10.225";"10.229";"10.226";"10.227";"10.205";"10.205.37";"10.205.38";"10.205.69";"10.205.31";"10.205.28";"10.205.27";"10.229.16";"10.229.17";"10.229.18";"10.229.19";"10.229.20";"10.229.21";"10.229.25";"10.229.26"},J25)))),"SCT SI - OCD",""))))))</f>
        <v/>
      </c>
      <c r="V25" s="18"/>
    </row>
    <row r="26" spans="1:22" ht="15" x14ac:dyDescent="0.35">
      <c r="A26" s="18"/>
      <c r="B26" s="45">
        <v>28</v>
      </c>
      <c r="C26" s="169" t="e">
        <f>('3. Contact'!#REF!)</f>
        <v>#REF!</v>
      </c>
      <c r="D26" s="47"/>
      <c r="E26" s="48"/>
      <c r="F26" s="46"/>
      <c r="G26" s="36"/>
      <c r="H26" s="46"/>
      <c r="I26" s="46"/>
      <c r="J26" s="49"/>
      <c r="K26" s="36"/>
      <c r="L26" s="36"/>
      <c r="M26" s="36"/>
      <c r="N26" s="36"/>
      <c r="O26" s="159"/>
      <c r="P26" s="40"/>
      <c r="Q26" s="41" t="s">
        <v>51</v>
      </c>
      <c r="R26" s="42"/>
      <c r="S26" s="50"/>
      <c r="T26" s="44" t="str" cm="1">
        <f t="array" ref="T26">IF(E26="","",IF(OR(ISNUMBER(SEARCH({"10.205.37";"10.205.38";"10.205.69";"10.205.31";"10.205.28";"10.205.27"},E26))),"Platform-Runtime and Azure OPS",
IF(OR(ISNUMBER(SEARCH({"10.229.16";"10.229.17";"10.229.18";"10.229.19";"10.229.20";"10.229.21";"10.229.25";"10.229.26"},E26))),"SDDC",
IF(OR(ISNUMBER(SEARCH({"10.220";"10.221";"10.222";"10.223";"10.224";"10.225";"10.229";"185.130.242"},E26))),"SDDC",
IF(OR(ISNUMBER(SEARCH({"10.226";"10.227";"10.205"},E26))),"Azure OPS and SDDC",
IF(AND(NOT(ISNUMBER(SEARCH({"10.220";"10.221";"10.222";"10.223";"10.224";"10.225";"10.229";"10.226";"10.227";"10.205";"10.205.37";"10.205.38";"10.205.69";"10.205.31";"10.205.28";"10.205.27";"10.229.16";"10.229.17";"10.229.18";"10.229.19";"10.229.20";"10.229.21";"10.229.25";"10.229.26"},E26)))),"SCT SI - OCD",""))))))</f>
        <v/>
      </c>
      <c r="U26" s="50" t="str" cm="1">
        <f t="array" ref="U26">IF(J26="","",IF(OR(ISNUMBER(SEARCH({"10.205.37";"10.205.38";"10.205.69";"10.205.31";"10.205.28";"10.205.27"},J26))),"Platform-Runtime and Azure OPS",
IF(OR(ISNUMBER(SEARCH({"10.229.16";"10.229.17";"10.229.18";"10.229.19";"10.229.20";"10.229.21";"10.229.25";"10.229.26"},J26))),"SDDC",
IF(OR(ISNUMBER(SEARCH({"10.220";"10.221";"10.222";"10.223";"10.224";"10.225";"10.229";"185.130.242"},J26))),"SDDC",
IF(OR(ISNUMBER(SEARCH({"10.226";"10.227";"10.205"},J26))),"Azure OPS and SDDC",
IF(AND(NOT(ISNUMBER(SEARCH({"10.220";"10.221";"10.222";"10.223";"10.224";"10.225";"10.229";"10.226";"10.227";"10.205";"10.205.37";"10.205.38";"10.205.69";"10.205.31";"10.205.28";"10.205.27";"10.229.16";"10.229.17";"10.229.18";"10.229.19";"10.229.20";"10.229.21";"10.229.25";"10.229.26"},J26)))),"SCT SI - OCD",""))))))</f>
        <v/>
      </c>
      <c r="V26" s="126"/>
    </row>
    <row r="27" spans="1:22" ht="15" x14ac:dyDescent="0.35">
      <c r="A27" s="18"/>
      <c r="B27" s="45">
        <v>29</v>
      </c>
      <c r="C27" s="169" t="e">
        <f>('3. Contact'!#REF!)</f>
        <v>#REF!</v>
      </c>
      <c r="D27" s="47"/>
      <c r="E27" s="48"/>
      <c r="F27" s="46"/>
      <c r="G27" s="36"/>
      <c r="H27" s="46"/>
      <c r="I27" s="46"/>
      <c r="J27" s="49"/>
      <c r="K27" s="36"/>
      <c r="L27" s="36"/>
      <c r="M27" s="36"/>
      <c r="N27" s="36"/>
      <c r="O27" s="159"/>
      <c r="P27" s="40"/>
      <c r="Q27" s="41" t="s">
        <v>51</v>
      </c>
      <c r="R27" s="42"/>
      <c r="S27" s="50"/>
      <c r="T27" s="44" t="str" cm="1">
        <f t="array" ref="T27">IF(E27="","",IF(OR(ISNUMBER(SEARCH({"10.205.37";"10.205.38";"10.205.69";"10.205.31";"10.205.28";"10.205.27"},E27))),"Platform-Runtime and Azure OPS",
IF(OR(ISNUMBER(SEARCH({"10.229.16";"10.229.17";"10.229.18";"10.229.19";"10.229.20";"10.229.21";"10.229.25";"10.229.26"},E27))),"SDDC",
IF(OR(ISNUMBER(SEARCH({"10.220";"10.221";"10.222";"10.223";"10.224";"10.225";"10.229";"185.130.242"},E27))),"SDDC",
IF(OR(ISNUMBER(SEARCH({"10.226";"10.227";"10.205"},E27))),"Azure OPS and SDDC",
IF(AND(NOT(ISNUMBER(SEARCH({"10.220";"10.221";"10.222";"10.223";"10.224";"10.225";"10.229";"10.226";"10.227";"10.205";"10.205.37";"10.205.38";"10.205.69";"10.205.31";"10.205.28";"10.205.27";"10.229.16";"10.229.17";"10.229.18";"10.229.19";"10.229.20";"10.229.21";"10.229.25";"10.229.26"},E27)))),"SCT SI - OCD",""))))))</f>
        <v/>
      </c>
      <c r="U27" s="134" t="str" cm="1">
        <f t="array" ref="U27">IF(J27="","",IF(OR(ISNUMBER(SEARCH({"10.205.37";"10.205.38";"10.205.69";"10.205.31";"10.205.28";"10.205.27"},J27))),"Platform-Runtime and Azure OPS",
IF(OR(ISNUMBER(SEARCH({"10.229.16";"10.229.17";"10.229.18";"10.229.19";"10.229.20";"10.229.21";"10.229.25";"10.229.26"},J27))),"SDDC",
IF(OR(ISNUMBER(SEARCH({"10.220";"10.221";"10.222";"10.223";"10.224";"10.225";"10.229";"185.130.242"},J27))),"SDDC",
IF(OR(ISNUMBER(SEARCH({"10.226";"10.227";"10.205"},J27))),"Azure OPS and SDDC",
IF(AND(NOT(ISNUMBER(SEARCH({"10.220";"10.221";"10.222";"10.223";"10.224";"10.225";"10.229";"10.226";"10.227";"10.205";"10.205.37";"10.205.38";"10.205.69";"10.205.31";"10.205.28";"10.205.27";"10.229.16";"10.229.17";"10.229.18";"10.229.19";"10.229.20";"10.229.21";"10.229.25";"10.229.26"},J27)))),"SCT SI - OCD",""))))))</f>
        <v/>
      </c>
      <c r="V27" s="18"/>
    </row>
    <row r="28" spans="1:22" ht="15.6" thickBot="1" x14ac:dyDescent="0.4">
      <c r="A28" s="18"/>
      <c r="B28" s="52">
        <v>30</v>
      </c>
      <c r="C28" s="160" t="e">
        <f>('3. Contact'!#REF!)</f>
        <v>#REF!</v>
      </c>
      <c r="D28" s="54"/>
      <c r="E28" s="55"/>
      <c r="F28" s="53"/>
      <c r="G28" s="56"/>
      <c r="H28" s="53"/>
      <c r="I28" s="53"/>
      <c r="J28" s="55"/>
      <c r="K28" s="56"/>
      <c r="L28" s="56"/>
      <c r="M28" s="53"/>
      <c r="N28" s="53"/>
      <c r="O28" s="160"/>
      <c r="P28" s="53"/>
      <c r="Q28" s="57" t="s">
        <v>51</v>
      </c>
      <c r="R28" s="42"/>
      <c r="S28" s="50"/>
      <c r="T28" s="133" t="str" cm="1">
        <f t="array" ref="T28">IF(E28="","",IF(OR(ISNUMBER(SEARCH({"10.205.37";"10.205.38";"10.205.69";"10.205.31";"10.205.28";"10.205.27"},E28))),"Platform-Runtime and Azure OPS",
IF(OR(ISNUMBER(SEARCH({"10.229.16";"10.229.17";"10.229.18";"10.229.19";"10.229.20";"10.229.21";"10.229.25";"10.229.26"},E28))),"SDDC",
IF(OR(ISNUMBER(SEARCH({"10.220";"10.221";"10.222";"10.223";"10.224";"10.225";"10.229";"185.130.242"},E28))),"SDDC",
IF(OR(ISNUMBER(SEARCH({"10.226";"10.227";"10.205"},E28))),"Azure OPS and SDDC",
IF(AND(NOT(ISNUMBER(SEARCH({"10.220";"10.221";"10.222";"10.223";"10.224";"10.225";"10.229";"10.226";"10.227";"10.205";"10.205.37";"10.205.38";"10.205.69";"10.205.31";"10.205.28";"10.205.27";"10.229.16";"10.229.17";"10.229.18";"10.229.19";"10.229.20";"10.229.21";"10.229.25";"10.229.26"},E28)))),"SCT SI - OCD",""))))))</f>
        <v/>
      </c>
      <c r="U28" s="158" t="str" cm="1">
        <f t="array" ref="U28">IF(J28="","",IF(OR(ISNUMBER(SEARCH({"10.205.37";"10.205.38";"10.205.69";"10.205.31";"10.205.28";"10.205.27"},J28))),"Platform-Runtime and Azure OPS",
IF(OR(ISNUMBER(SEARCH({"10.229.16";"10.229.17";"10.229.18";"10.229.19";"10.229.20";"10.229.21";"10.229.25";"10.229.26"},J28))),"SDDC",
IF(OR(ISNUMBER(SEARCH({"10.220";"10.221";"10.222";"10.223";"10.224";"10.225";"10.229";"185.130.242"},J28))),"SDDC",
IF(OR(ISNUMBER(SEARCH({"10.226";"10.227";"10.205"},J28))),"Azure OPS and SDDC",
IF(AND(NOT(ISNUMBER(SEARCH({"10.220";"10.221";"10.222";"10.223";"10.224";"10.225";"10.229";"10.226";"10.227";"10.205";"10.205.37";"10.205.38";"10.205.69";"10.205.31";"10.205.28";"10.205.27";"10.229.16";"10.229.17";"10.229.18";"10.229.19";"10.229.20";"10.229.21";"10.229.25";"10.229.26"},J28)))),"SCT SI - OCD",""))))))</f>
        <v/>
      </c>
      <c r="V28" s="126"/>
    </row>
    <row r="29" spans="1:22" ht="15" x14ac:dyDescent="0.35">
      <c r="A29" s="18"/>
      <c r="B29" s="18"/>
      <c r="C29" s="18"/>
      <c r="D29" s="18"/>
      <c r="E29" s="18"/>
      <c r="F29" s="18"/>
      <c r="G29" s="18"/>
      <c r="H29" s="18"/>
      <c r="I29" s="18"/>
      <c r="J29" s="18"/>
      <c r="K29" s="18"/>
      <c r="L29" s="18"/>
      <c r="M29" s="18"/>
      <c r="N29" s="18"/>
      <c r="O29" s="18"/>
      <c r="P29" s="18"/>
      <c r="Q29" s="18"/>
      <c r="R29" s="18"/>
      <c r="S29" s="18"/>
      <c r="T29" s="18"/>
      <c r="U29" s="18"/>
      <c r="V29" s="18"/>
    </row>
    <row r="30" spans="1:22" ht="15.6" thickBot="1" x14ac:dyDescent="0.4">
      <c r="A30" s="18"/>
      <c r="B30" s="18"/>
      <c r="C30" s="18"/>
      <c r="D30" s="18"/>
      <c r="E30" s="18"/>
      <c r="F30" s="18"/>
      <c r="G30" s="18"/>
      <c r="H30" s="18"/>
      <c r="I30" s="18"/>
      <c r="J30" s="18"/>
      <c r="K30" s="18"/>
      <c r="L30" s="18"/>
      <c r="M30" s="18"/>
      <c r="N30" s="18"/>
      <c r="O30" s="18"/>
      <c r="P30" s="18"/>
      <c r="Q30" s="18"/>
      <c r="R30" s="18"/>
      <c r="S30" s="18"/>
      <c r="T30" s="18"/>
      <c r="U30" s="18"/>
      <c r="V30" s="18"/>
    </row>
    <row r="31" spans="1:22" ht="16.8" x14ac:dyDescent="0.35">
      <c r="A31" s="18"/>
      <c r="B31" s="155" t="s">
        <v>120</v>
      </c>
      <c r="C31" s="156"/>
      <c r="D31" s="156"/>
      <c r="E31" s="156"/>
      <c r="F31" s="156"/>
      <c r="G31" s="59"/>
      <c r="H31" s="59"/>
      <c r="I31" s="59"/>
      <c r="J31" s="60"/>
      <c r="K31" s="60"/>
      <c r="L31" s="60"/>
      <c r="M31" s="126"/>
      <c r="N31" s="18"/>
      <c r="O31" s="18"/>
      <c r="P31" s="18"/>
      <c r="Q31" s="18"/>
      <c r="R31" s="18"/>
      <c r="S31" s="18"/>
      <c r="T31" s="18"/>
      <c r="U31" s="18"/>
      <c r="V31" s="18"/>
    </row>
    <row r="32" spans="1:22" ht="15" customHeight="1" x14ac:dyDescent="0.35">
      <c r="A32" s="18"/>
      <c r="B32" s="199"/>
      <c r="C32" s="200"/>
      <c r="D32" s="200"/>
      <c r="E32" s="200"/>
      <c r="F32" s="200"/>
      <c r="G32" s="61"/>
      <c r="H32" s="61"/>
      <c r="I32" s="61"/>
      <c r="J32" s="61"/>
      <c r="K32" s="61"/>
      <c r="L32" s="62"/>
      <c r="M32" s="18"/>
      <c r="N32" s="18"/>
      <c r="O32" s="18"/>
      <c r="P32" s="18"/>
      <c r="Q32" s="18"/>
      <c r="R32" s="18"/>
      <c r="S32" s="18"/>
      <c r="T32" s="18"/>
      <c r="U32" s="18"/>
      <c r="V32" s="18"/>
    </row>
    <row r="33" spans="1:22" ht="16.8" x14ac:dyDescent="0.4">
      <c r="A33" s="18"/>
      <c r="B33" s="199"/>
      <c r="C33" s="200"/>
      <c r="D33" s="200"/>
      <c r="E33" s="200"/>
      <c r="F33" s="200"/>
      <c r="G33" s="61"/>
      <c r="H33" s="61"/>
      <c r="I33" s="61"/>
      <c r="J33" s="61"/>
      <c r="K33" s="61"/>
      <c r="L33" s="62"/>
      <c r="M33" s="18"/>
      <c r="N33" s="18"/>
      <c r="O33" s="18"/>
      <c r="P33" s="18"/>
      <c r="Q33" s="18"/>
      <c r="R33" s="63"/>
      <c r="S33" s="18"/>
      <c r="T33" s="18"/>
      <c r="U33" s="18"/>
      <c r="V33" s="18"/>
    </row>
    <row r="34" spans="1:22" ht="17.399999999999999" thickBot="1" x14ac:dyDescent="0.45">
      <c r="A34" s="18"/>
      <c r="B34" s="206"/>
      <c r="C34" s="207"/>
      <c r="D34" s="207"/>
      <c r="E34" s="207"/>
      <c r="F34" s="207"/>
      <c r="G34" s="61"/>
      <c r="H34" s="61"/>
      <c r="I34" s="61"/>
      <c r="J34" s="61"/>
      <c r="K34" s="61"/>
      <c r="L34" s="62"/>
      <c r="M34" s="18"/>
      <c r="N34" s="18"/>
      <c r="O34" s="18"/>
      <c r="P34" s="18"/>
      <c r="Q34" s="18"/>
      <c r="R34" s="63"/>
      <c r="S34" s="18"/>
      <c r="T34" s="18"/>
      <c r="U34" s="18"/>
      <c r="V34" s="18"/>
    </row>
    <row r="35" spans="1:22" ht="16.8" x14ac:dyDescent="0.4">
      <c r="A35" s="18"/>
      <c r="B35" s="106" t="s">
        <v>121</v>
      </c>
      <c r="C35" s="107"/>
      <c r="D35" s="107"/>
      <c r="E35" s="107"/>
      <c r="F35" s="107"/>
      <c r="G35" s="61"/>
      <c r="H35" s="61"/>
      <c r="I35" s="61"/>
      <c r="J35" s="61"/>
      <c r="K35" s="61"/>
      <c r="L35" s="62"/>
      <c r="M35" s="18"/>
      <c r="N35" s="18"/>
      <c r="O35" s="18"/>
      <c r="P35" s="18"/>
      <c r="Q35" s="18"/>
      <c r="R35" s="63"/>
      <c r="S35" s="18"/>
      <c r="T35" s="18"/>
      <c r="U35" s="18"/>
      <c r="V35" s="18"/>
    </row>
    <row r="36" spans="1:22" ht="16.8" x14ac:dyDescent="0.4">
      <c r="A36" s="18"/>
      <c r="B36" s="197"/>
      <c r="C36" s="198"/>
      <c r="D36" s="198"/>
      <c r="E36" s="198"/>
      <c r="F36" s="198"/>
      <c r="G36" s="61"/>
      <c r="H36" s="61"/>
      <c r="I36" s="61"/>
      <c r="J36" s="61"/>
      <c r="K36" s="61"/>
      <c r="L36" s="62"/>
      <c r="M36" s="18"/>
      <c r="N36" s="18"/>
      <c r="O36" s="18"/>
      <c r="P36" s="18"/>
      <c r="Q36" s="18"/>
      <c r="R36" s="63"/>
      <c r="S36" s="18"/>
      <c r="T36" s="18"/>
      <c r="U36" s="18"/>
      <c r="V36" s="18"/>
    </row>
    <row r="37" spans="1:22" ht="15" x14ac:dyDescent="0.35">
      <c r="A37" s="18"/>
      <c r="B37" s="197"/>
      <c r="C37" s="198"/>
      <c r="D37" s="198"/>
      <c r="E37" s="198"/>
      <c r="F37" s="198"/>
      <c r="G37" s="61"/>
      <c r="H37" s="61"/>
      <c r="I37" s="61"/>
      <c r="J37" s="61"/>
      <c r="K37" s="61"/>
      <c r="L37" s="62"/>
      <c r="M37" s="18"/>
      <c r="N37" s="18"/>
      <c r="O37" s="18"/>
      <c r="P37" s="18"/>
      <c r="Q37" s="18"/>
      <c r="R37" s="18"/>
      <c r="S37" s="18"/>
      <c r="T37" s="18"/>
      <c r="U37" s="18"/>
      <c r="V37" s="18"/>
    </row>
    <row r="38" spans="1:22" ht="15" x14ac:dyDescent="0.35">
      <c r="A38" s="18"/>
      <c r="B38" s="64" t="s">
        <v>122</v>
      </c>
      <c r="C38" s="61"/>
      <c r="D38" s="61"/>
      <c r="E38" s="61"/>
      <c r="F38" s="61"/>
      <c r="G38" s="61"/>
      <c r="H38" s="61"/>
      <c r="I38" s="61"/>
      <c r="J38" s="61"/>
      <c r="K38" s="61"/>
      <c r="L38" s="62"/>
      <c r="M38" s="18"/>
      <c r="N38" s="18"/>
      <c r="O38" s="18"/>
      <c r="P38" s="18"/>
      <c r="Q38" s="18"/>
      <c r="R38" s="18"/>
      <c r="S38" s="18"/>
      <c r="T38" s="18"/>
      <c r="U38" s="18"/>
      <c r="V38" s="18"/>
    </row>
    <row r="39" spans="1:22" ht="15.6" thickBot="1" x14ac:dyDescent="0.4">
      <c r="A39" s="18"/>
      <c r="B39" s="65"/>
      <c r="C39" s="66"/>
      <c r="D39" s="66"/>
      <c r="E39" s="66"/>
      <c r="F39" s="66"/>
      <c r="G39" s="66"/>
      <c r="H39" s="66"/>
      <c r="I39" s="66"/>
      <c r="J39" s="66"/>
      <c r="K39" s="66"/>
      <c r="L39" s="67"/>
      <c r="M39" s="18"/>
      <c r="N39" s="18"/>
      <c r="O39" s="18"/>
      <c r="P39" s="18"/>
      <c r="Q39" s="18"/>
      <c r="R39" s="18"/>
      <c r="S39" s="18"/>
      <c r="T39" s="18"/>
      <c r="U39" s="18"/>
      <c r="V39" s="18"/>
    </row>
    <row r="40" spans="1:22" ht="15" x14ac:dyDescent="0.35">
      <c r="A40" s="18"/>
      <c r="B40" s="18"/>
      <c r="C40" s="18"/>
      <c r="D40" s="18"/>
      <c r="E40" s="18"/>
      <c r="F40" s="18"/>
      <c r="G40" s="18"/>
      <c r="H40" s="18"/>
      <c r="I40" s="18"/>
      <c r="J40" s="18"/>
      <c r="K40" s="18"/>
      <c r="L40" s="18"/>
      <c r="M40" s="18"/>
      <c r="N40" s="18"/>
      <c r="O40" s="18"/>
      <c r="P40" s="18"/>
      <c r="Q40" s="18"/>
      <c r="R40" s="18"/>
      <c r="S40" s="18"/>
      <c r="T40" s="18"/>
      <c r="U40" s="18"/>
      <c r="V40" s="18"/>
    </row>
  </sheetData>
  <sheetProtection algorithmName="SHA-512" hashValue="4VYqe3kpWnN0X0+ZBhBgFIoJQ1jUshd6mDjeZ2Yin4VI6JejzgVACFeTEIAKzPXw69IIG9yBLR7ABDI9b6kKIg==" saltValue="xc8gskEZHC2lvyGJKSDtJQ==" spinCount="100000" sheet="1" objects="1" scenarios="1"/>
  <mergeCells count="6">
    <mergeCell ref="T11:U11"/>
    <mergeCell ref="B36:F37"/>
    <mergeCell ref="B32:F34"/>
    <mergeCell ref="I2:I7"/>
    <mergeCell ref="E11:I11"/>
    <mergeCell ref="J11:L11"/>
  </mergeCells>
  <conditionalFormatting sqref="A13:D13">
    <cfRule type="expression" dxfId="12" priority="1" stopIfTrue="1">
      <formula>AND(ISNUMBER(VALUE(LEFT(A13, FIND(".", A13)-1))),  ISNUMBER(VALUE(MID(A13, FIND(".", A13)+1, FIND(".", A13, FIND(".", A13)+1)-FIND(".", A13)-1))),  ISNUMBER(VALUE(MID(A13, FIND(".", A13, FIND(".", A13)+1)+1, FIND(".", A13, FIND(".", A13, FIND(".", A13)+1)+1)-FIND(".", A13, FIND(".", A13)+1)-1))),  ISNUMBER(VALUE(RIGHT(A13, LEN(A13)-FIND(".", A13, FIND(".", A13, FIND(".", A13)+1)+1)))),  VALUE(LEFT(A13, FIND(".", A13)-1))&lt;=255,  VALUE(MID(A13, FIND(".", A13)+1, FIND(".", A13, FIND(".", A13)+1)-FIND(".", A13)-1))&lt;=255,  VALUE(MID(A13, FIND(".", A13, FIND(".", A13)+1)+1, FIND(".", A13, FIND(".", A13, FIND(".", A13)+1)+1)-FIND(".", A13, FIND(".", A13)+1)-1))&lt;=255,  VALUE(RIGHT(A13, LEN(A13)-FIND(".", A13, FIND(".", A13, FIND(".", A13)+1)+1)))&lt;=255)</formula>
    </cfRule>
  </conditionalFormatting>
  <conditionalFormatting sqref="A8:XFD10">
    <cfRule type="expression" dxfId="11" priority="13" stopIfTrue="1">
      <formula>AND(ISNUMBER(VALUE(LEFT(A8, FIND(".", A8)-1))),  ISNUMBER(VALUE(MID(A8, FIND(".", A8)+1, FIND(".", A8, FIND(".", A8)+1)-FIND(".", A8)-1))),  ISNUMBER(VALUE(MID(A8, FIND(".", A8, FIND(".", A8)+1)+1, FIND(".", A8, FIND(".", A8, FIND(".", A8)+1)+1)-FIND(".", A8, FIND(".", A8)+1)-1))),  ISNUMBER(VALUE(RIGHT(A8, LEN(A8)-FIND(".", A8, FIND(".", A8, FIND(".", A8)+1)+1)))),  VALUE(LEFT(A8, FIND(".", A8)-1))&lt;=255,  VALUE(MID(A8, FIND(".", A8)+1, FIND(".", A8, FIND(".", A8)+1)-FIND(".", A8)-1))&lt;=255,  VALUE(MID(A8, FIND(".", A8, FIND(".", A8)+1)+1, FIND(".", A8, FIND(".", A8, FIND(".", A8)+1)+1)-FIND(".", A8, FIND(".", A8)+1)-1))&lt;=255,  VALUE(RIGHT(A8, LEN(A8)-FIND(".", A8, FIND(".", A8, FIND(".", A8)+1)+1)))&lt;=255)</formula>
    </cfRule>
  </conditionalFormatting>
  <conditionalFormatting sqref="A12:XFD12">
    <cfRule type="expression" dxfId="10" priority="2" stopIfTrue="1">
      <formula>AND(ISNUMBER(VALUE(LEFT(A12, FIND(".", A12)-1))),  ISNUMBER(VALUE(MID(A12, FIND(".", A12)+1, FIND(".", A12, FIND(".", A12)+1)-FIND(".", A12)-1))),  ISNUMBER(VALUE(MID(A12, FIND(".", A12, FIND(".", A12)+1)+1, FIND(".", A12, FIND(".", A12, FIND(".", A12)+1)+1)-FIND(".", A12, FIND(".", A12)+1)-1))),  ISNUMBER(VALUE(RIGHT(A12, LEN(A12)-FIND(".", A12, FIND(".", A12, FIND(".", A12)+1)+1)))),  VALUE(LEFT(A12, FIND(".", A12)-1))&lt;=255,  VALUE(MID(A12, FIND(".", A12)+1, FIND(".", A12, FIND(".", A12)+1)-FIND(".", A12)-1))&lt;=255,  VALUE(MID(A12, FIND(".", A12, FIND(".", A12)+1)+1, FIND(".", A12, FIND(".", A12, FIND(".", A12)+1)+1)-FIND(".", A12, FIND(".", A12)+1)-1))&lt;=255,  VALUE(RIGHT(A12, LEN(A12)-FIND(".", A12, FIND(".", A12, FIND(".", A12)+1)+1)))&lt;=255)</formula>
    </cfRule>
  </conditionalFormatting>
  <conditionalFormatting sqref="B36">
    <cfRule type="expression" dxfId="9" priority="10" stopIfTrue="1">
      <formula>AND(ISNUMBER(VALUE(LEFT(B36, FIND(".", B36)-1))),  ISNUMBER(VALUE(MID(B36, FIND(".", B36)+1, FIND(".", B36, FIND(".", B36)+1)-FIND(".", B36)-1))),  ISNUMBER(VALUE(MID(B36, FIND(".", B36, FIND(".", B36)+1)+1, FIND(".", B36, FIND(".", B36, FIND(".", B36)+1)+1)-FIND(".", B36, FIND(".", B36)+1)-1))),  ISNUMBER(VALUE(RIGHT(B36, LEN(B36)-FIND(".", B36, FIND(".", B36, FIND(".", B36)+1)+1)))),  VALUE(LEFT(B36, FIND(".", B36)-1))&lt;=255,  VALUE(MID(B36, FIND(".", B36)+1, FIND(".", B36, FIND(".", B36)+1)-FIND(".", B36)-1))&lt;=255,  VALUE(MID(B36, FIND(".", B36, FIND(".", B36)+1)+1, FIND(".", B36, FIND(".", B36, FIND(".", B36)+1)+1)-FIND(".", B36, FIND(".", B36)+1)-1))&lt;=255,  VALUE(RIGHT(B36, LEN(B36)-FIND(".", B36, FIND(".", B36, FIND(".", B36)+1)+1)))&lt;=255)</formula>
    </cfRule>
  </conditionalFormatting>
  <conditionalFormatting sqref="B35:F35">
    <cfRule type="expression" dxfId="8" priority="11" stopIfTrue="1">
      <formula>AND(ISNUMBER(VALUE(LEFT(B35, FIND(".", B35)-1))),  ISNUMBER(VALUE(MID(B35, FIND(".", B35)+1, FIND(".", B35, FIND(".", B35)+1)-FIND(".", B35)-1))),  ISNUMBER(VALUE(MID(B35, FIND(".", B35, FIND(".", B35)+1)+1, FIND(".", B35, FIND(".", B35, FIND(".", B35)+1)+1)-FIND(".", B35, FIND(".", B35)+1)-1))),  ISNUMBER(VALUE(RIGHT(B35, LEN(B35)-FIND(".", B35, FIND(".", B35, FIND(".", B35)+1)+1)))),  VALUE(LEFT(B35, FIND(".", B35)-1))&lt;=255,  VALUE(MID(B35, FIND(".", B35)+1, FIND(".", B35, FIND(".", B35)+1)-FIND(".", B35)-1))&lt;=255,  VALUE(MID(B35, FIND(".", B35, FIND(".", B35)+1)+1, FIND(".", B35, FIND(".", B35, FIND(".", B35)+1)+1)-FIND(".", B35, FIND(".", B35)+1)-1))&lt;=255,  VALUE(RIGHT(B35, LEN(B35)-FIND(".", B35, FIND(".", B35, FIND(".", B35)+1)+1)))&lt;=255)</formula>
    </cfRule>
  </conditionalFormatting>
  <conditionalFormatting sqref="E13:E28">
    <cfRule type="expression" dxfId="7" priority="32">
      <formula>LEN(E13)&gt;0</formula>
    </cfRule>
  </conditionalFormatting>
  <conditionalFormatting sqref="E13:XFD13 A14:XFD30 A1:XFD1 B2:XFD7 B11:E11 J11 M11:T11 V11:XFD11 A31 G31:XFD31 B32 M32:XFD39 A40:XFD1048576">
    <cfRule type="expression" dxfId="6" priority="25" stopIfTrue="1">
      <formula>AND(ISNUMBER(VALUE(LEFT(A1, FIND(".", A1)-1))),  ISNUMBER(VALUE(MID(A1, FIND(".", A1)+1, FIND(".", A1, FIND(".", A1)+1)-FIND(".", A1)-1))),  ISNUMBER(VALUE(MID(A1, FIND(".", A1, FIND(".", A1)+1)+1, FIND(".", A1, FIND(".", A1, FIND(".", A1)+1)+1)-FIND(".", A1, FIND(".", A1)+1)-1))),  ISNUMBER(VALUE(RIGHT(A1, LEN(A1)-FIND(".", A1, FIND(".", A1, FIND(".", A1)+1)+1)))),  VALUE(LEFT(A1, FIND(".", A1)-1))&lt;=255,  VALUE(MID(A1, FIND(".", A1)+1, FIND(".", A1, FIND(".", A1)+1)-FIND(".", A1)-1))&lt;=255,  VALUE(MID(A1, FIND(".", A1, FIND(".", A1)+1)+1, FIND(".", A1, FIND(".", A1, FIND(".", A1)+1)+1)-FIND(".", A1, FIND(".", A1)+1)-1))&lt;=255,  VALUE(RIGHT(A1, LEN(A1)-FIND(".", A1, FIND(".", A1, FIND(".", A1)+1)+1)))&lt;=255)</formula>
    </cfRule>
  </conditionalFormatting>
  <conditionalFormatting sqref="J13:J28">
    <cfRule type="expression" dxfId="5" priority="26">
      <formula>LEN(J13)&gt;0</formula>
    </cfRule>
  </conditionalFormatting>
  <conditionalFormatting sqref="T13:U28">
    <cfRule type="cellIs" dxfId="4" priority="19" operator="equal">
      <formula>"Platform-Runtime and Azure OPS"</formula>
    </cfRule>
    <cfRule type="cellIs" dxfId="3" priority="20" operator="equal">
      <formula>"SDDC"</formula>
    </cfRule>
    <cfRule type="cellIs" dxfId="2" priority="21" operator="equal">
      <formula>"Azure OPS"</formula>
    </cfRule>
    <cfRule type="cellIs" dxfId="1" priority="22" operator="equal">
      <formula>"Azure OPS and SDDC"</formula>
    </cfRule>
    <cfRule type="cellIs" dxfId="0" priority="23" operator="equal">
      <formula>"SCT SI - OCD"</formula>
    </cfRule>
  </conditionalFormatting>
  <dataValidations disablePrompts="1" count="23">
    <dataValidation allowBlank="1" showInputMessage="1" showErrorMessage="1" prompt="Use this textbox below to add additional information (context) to this firewall change request." sqref="B31" xr:uid="{4A9E817D-AA5B-475B-B388-4B519F75F875}"/>
    <dataValidation allowBlank="1" showInputMessage="1" showErrorMessage="1" prompt="Used by the Servicedesk team only!" sqref="T11:U11" xr:uid="{AF098087-6003-4212-BE56-85BBB7820E50}"/>
    <dataValidation allowBlank="1" showInputMessage="1" showErrorMessage="1" prompt="Click on a cell for more information" sqref="I2:I7" xr:uid="{7083A620-FAFB-4A88-85F6-1C1FD547E3BF}"/>
    <dataValidation allowBlank="1" showInputMessage="1" showErrorMessage="1" prompt="Is this rule temporary or persistent?" sqref="Q12" xr:uid="{78EB638E-EEC8-4107-8A16-5CF1C301A013}"/>
    <dataValidation allowBlank="1" showInputMessage="1" showErrorMessage="1" prompt="Destination Network Zone" sqref="M12" xr:uid="{5C9F62CC-4A9A-4D4C-8ED0-59EAC74B635B}"/>
    <dataValidation allowBlank="1" showInputMessage="1" showErrorMessage="1" prompt="Source Network Zone (Optional)" sqref="G12" xr:uid="{D8E53AC9-3BB0-4BE1-99F3-0E45DCE5C920}"/>
    <dataValidation allowBlank="1" showInputMessage="1" showErrorMessage="1" prompt="The destination IP-address(es) of this connection." sqref="J12" xr:uid="{BE5F575C-659A-46F6-B8DD-6D88CC49D359}"/>
    <dataValidation allowBlank="1" showInputMessage="1" showErrorMessage="1" prompt="The Source IP-address(es) that initiates the connection." sqref="E12" xr:uid="{65C16AAD-27C9-42DF-A2EC-DA96D9F7C7FA}"/>
    <dataValidation allowBlank="1" showInputMessage="1" showErrorMessage="1" prompt="When using Azure Cloud." sqref="H12" xr:uid="{158EFAD2-19C1-4996-A19E-3ADA2BD1F83B}"/>
    <dataValidation allowBlank="1" showInputMessage="1" showErrorMessage="1" prompt="Transport protocol: TCP or UDP" sqref="N12" xr:uid="{580921E1-9958-44CB-AF8C-ABD753B4541F}"/>
    <dataValidation allowBlank="1" showInputMessage="1" showErrorMessage="1" prompt="Beknopte omschrijving van deze regel." sqref="S12" xr:uid="{28823FC2-EB23-4C9B-9845-BE6148010DFB}"/>
    <dataValidation allowBlank="1" showInputMessage="1" showErrorMessage="1" prompt="Wie is de leverancier dan wel fabrikant van deze applicatie." sqref="R12" xr:uid="{5FD28161-FA98-4FCF-AB6F-6D73723BA761}"/>
    <dataValidation allowBlank="1" showInputMessage="1" showErrorMessage="1" prompt="What are the service port(s) of the application? Max. 5 ports per fw rule." sqref="O12" xr:uid="{22A50551-3DA8-492B-8458-2E3E9007C136}"/>
    <dataValidation allowBlank="1" showInputMessage="1" showErrorMessage="1" prompt="Global Protect VPN only: Which MS AD group needs access." sqref="I12" xr:uid="{D0C0582F-B4BF-47D9-8A15-417BDA56356D}"/>
    <dataValidation allowBlank="1" showInputMessage="1" showErrorMessage="1" prompt="What is the network service that is allowed with this fw rule?" sqref="M12" xr:uid="{37F6CAA4-18E7-411C-BF37-A2A3C522C682}"/>
    <dataValidation allowBlank="1" showInputMessage="1" showErrorMessage="1" prompt="Traffic allow or deny?" sqref="P12" xr:uid="{D20EAB2B-06B3-41F6-AF26-C650807B7503}"/>
    <dataValidation allowBlank="1" showInputMessage="1" showErrorMessage="1" prompt="Destination Network Zone (Optional)" sqref="L12" xr:uid="{26A2D1FC-C64A-4E11-A991-07D96F56CB82}"/>
    <dataValidation type="whole" errorStyle="warning" allowBlank="1" showErrorMessage="1" errorTitle="Warning" error="Single Portnumber or Portrange (x-y)." sqref="O13" xr:uid="{6D435265-81DF-45C4-B425-782C37B7CF2E}">
      <formula1>1</formula1>
      <formula2>65535</formula2>
    </dataValidation>
    <dataValidation type="whole" errorStyle="warning" allowBlank="1" showInputMessage="1" showErrorMessage="1" errorTitle="Warning" error="Single Portnumber or Portrange (x-y)." sqref="O14:O28" xr:uid="{52B5E649-D56C-482B-89BF-DB5BF4C19D8E}">
      <formula1>1</formula1>
      <formula2>65535</formula2>
    </dataValidation>
    <dataValidation allowBlank="1" showInputMessage="1" showErrorMessage="1" prompt="This rule applies to this application." sqref="C12" xr:uid="{0C0565FB-0729-48B1-B878-87F8E421A8A0}"/>
    <dataValidation allowBlank="1" showInputMessage="1" showErrorMessage="1" prompt="The FQDN or EPG of the device/domain that initiates the connection." sqref="F12" xr:uid="{D21BFC2F-4BF5-487E-867E-C813323B09D4}"/>
    <dataValidation allowBlank="1" showInputMessage="1" showErrorMessage="1" prompt="The FQDN or EPG of the device/domain that the connection is pointed to." sqref="K12" xr:uid="{6CCA6EAD-AC05-4522-9B7B-D0AF13649484}"/>
    <dataValidation allowBlank="1" showInputMessage="1" showErrorMessage="1" prompt="Meaningful description for this firewall rule." sqref="D12" xr:uid="{88403644-7BA4-4394-A388-1843BFC8EB30}"/>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AF906EE1-EF98-40EA-BD1C-F9902274A00D}">
          <x14:formula1>
            <xm:f>Content!$A$9:$A$40</xm:f>
          </x14:formula1>
          <xm:sqref>M13:M28</xm:sqref>
        </x14:dataValidation>
        <x14:dataValidation type="list" allowBlank="1" showInputMessage="1" showErrorMessage="1" xr:uid="{609AEF82-8CA9-4DC8-9A8B-4EF239D4EB77}">
          <x14:formula1>
            <xm:f>Content!$F$3:$F$13</xm:f>
          </x14:formula1>
          <xm:sqref>L13:L28 G13:G28</xm:sqref>
        </x14:dataValidation>
        <x14:dataValidation type="list" allowBlank="1" showInputMessage="1" showErrorMessage="1" xr:uid="{D389CDDA-2A8E-474F-9F41-268D29899AFD}">
          <x14:formula1>
            <xm:f>Content!$D$12:$D$13</xm:f>
          </x14:formula1>
          <xm:sqref>Q13:Q28</xm:sqref>
        </x14:dataValidation>
        <x14:dataValidation type="list" allowBlank="1" showInputMessage="1" showErrorMessage="1" xr:uid="{A85FED59-7C7D-494C-B102-9EE1BC075A5F}">
          <x14:formula1>
            <xm:f>Content!$D$17:$D$20</xm:f>
          </x14:formula1>
          <xm:sqref>N13</xm:sqref>
        </x14:dataValidation>
        <x14:dataValidation type="list" allowBlank="1" showInputMessage="1" showErrorMessage="1" xr:uid="{F66D9172-BB46-4627-A27B-D1E4E1158FFE}">
          <x14:formula1>
            <xm:f>Content!$B$9:$B$18</xm:f>
          </x14:formula1>
          <xm:sqref>R13:R28</xm:sqref>
        </x14:dataValidation>
        <x14:dataValidation type="list" allowBlank="1" showInputMessage="1" showErrorMessage="1" xr:uid="{EAB0627D-286B-4E01-8E5D-A5E27BADF2DC}">
          <x14:formula1>
            <xm:f>Content!$D$9:$D$10</xm:f>
          </x14:formula1>
          <xm:sqref>P13:P28</xm:sqref>
        </x14:dataValidation>
        <x14:dataValidation type="list" allowBlank="1" showInputMessage="1" showErrorMessage="1" errorTitle="Warning" error="Please select the right protocol from the dropdown list." xr:uid="{0178C239-4A21-426D-8723-D813E8E69EE8}">
          <x14:formula1>
            <xm:f>Content!$D$17:$D$20</xm:f>
          </x14:formula1>
          <xm:sqref>N14:N28</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3b8b30-683d-441e-9178-d0acc9eab408">
      <Terms xmlns="http://schemas.microsoft.com/office/infopath/2007/PartnerControls"/>
    </lcf76f155ced4ddcb4097134ff3c332f>
    <TaxCatchAll xmlns="6281e1c8-d010-4ee5-bcbd-da1b0129dfc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D19147D094A5C4B9EE833A1EED2612C" ma:contentTypeVersion="14" ma:contentTypeDescription="Een nieuw document maken." ma:contentTypeScope="" ma:versionID="5333e63d7b83baec4069c3a28c8c34d4">
  <xsd:schema xmlns:xsd="http://www.w3.org/2001/XMLSchema" xmlns:xs="http://www.w3.org/2001/XMLSchema" xmlns:p="http://schemas.microsoft.com/office/2006/metadata/properties" xmlns:ns2="f23b8b30-683d-441e-9178-d0acc9eab408" xmlns:ns3="6281e1c8-d010-4ee5-bcbd-da1b0129dfc8" targetNamespace="http://schemas.microsoft.com/office/2006/metadata/properties" ma:root="true" ma:fieldsID="c6f4855efbb15370c3f6ab1f93a61452" ns2:_="" ns3:_="">
    <xsd:import namespace="f23b8b30-683d-441e-9178-d0acc9eab408"/>
    <xsd:import namespace="6281e1c8-d010-4ee5-bcbd-da1b0129dfc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3b8b30-683d-441e-9178-d0acc9eab4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descriptio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ef368baf-70a1-4a54-b386-ff5a79ea02f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81e1c8-d010-4ee5-bcbd-da1b0129dfc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c9d1323-4077-4748-babe-317c6add969a}" ma:internalName="TaxCatchAll" ma:showField="CatchAllData" ma:web="6281e1c8-d010-4ee5-bcbd-da1b0129dfc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172262-B2FB-4757-A883-20F30B249F1D}"/>
</file>

<file path=customXml/itemProps2.xml><?xml version="1.0" encoding="utf-8"?>
<ds:datastoreItem xmlns:ds="http://schemas.openxmlformats.org/officeDocument/2006/customXml" ds:itemID="{808204F3-360A-43EC-AAFC-B36B26400DC4}">
  <ds:schemaRefs>
    <ds:schemaRef ds:uri="http://schemas.microsoft.com/office/2006/metadata/properties"/>
    <ds:schemaRef ds:uri="http://www.w3.org/XML/1998/namespace"/>
    <ds:schemaRef ds:uri="17872a55-e2c9-4ecc-a792-8faad205dc52"/>
    <ds:schemaRef ds:uri="http://schemas.openxmlformats.org/package/2006/metadata/core-properties"/>
    <ds:schemaRef ds:uri="056095ed-0dd5-4469-9d93-76a43d3d2e3d"/>
    <ds:schemaRef ds:uri="http://purl.org/dc/elements/1.1/"/>
    <ds:schemaRef ds:uri="http://schemas.microsoft.com/office/2006/documentManagement/types"/>
    <ds:schemaRef ds:uri="http://schemas.microsoft.com/office/infopath/2007/PartnerControls"/>
    <ds:schemaRef ds:uri="http://purl.org/dc/dcmitype/"/>
    <ds:schemaRef ds:uri="http://purl.org/dc/terms/"/>
  </ds:schemaRefs>
</ds:datastoreItem>
</file>

<file path=customXml/itemProps3.xml><?xml version="1.0" encoding="utf-8"?>
<ds:datastoreItem xmlns:ds="http://schemas.openxmlformats.org/officeDocument/2006/customXml" ds:itemID="{A3DE674D-1215-4D55-8FE0-58B513805A9A}"/>
</file>

<file path=docMetadata/LabelInfo.xml><?xml version="1.0" encoding="utf-8"?>
<clbl:labelList xmlns:clbl="http://schemas.microsoft.com/office/2020/mipLabelMetadata">
  <clbl:label id="{37d76393-9a45-44bc-94e0-70aeaf3df879}" enabled="1" method="Standard" siteId="{39e1abd8-ed13-44eb-be42-1e20116ea98c}" removed="0"/>
  <clbl:label id="{5237ac88-813e-467d-90ba-6ce279e3edc8}" enabled="1" method="Standard" siteId="{27776982-d882-41b2-95ac-322f28d5a2c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9</vt:i4>
      </vt:variant>
    </vt:vector>
  </HeadingPairs>
  <TitlesOfParts>
    <vt:vector size="9" baseType="lpstr">
      <vt:lpstr>1. Start</vt:lpstr>
      <vt:lpstr>2. Explanation</vt:lpstr>
      <vt:lpstr>3. Contact</vt:lpstr>
      <vt:lpstr>4. FW Rules (1-15)</vt:lpstr>
      <vt:lpstr>4. FW Rules (extended 16-30)</vt:lpstr>
      <vt:lpstr>6. Version History</vt:lpstr>
      <vt:lpstr>Content</vt:lpstr>
      <vt:lpstr>Services</vt:lpstr>
      <vt:lpstr>16-30 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Salhi, Monia</dc:creator>
  <cp:keywords/>
  <dc:description/>
  <cp:lastModifiedBy>Roos-Hoek, Femke de</cp:lastModifiedBy>
  <cp:revision/>
  <dcterms:created xsi:type="dcterms:W3CDTF">2024-01-10T13:11:19Z</dcterms:created>
  <dcterms:modified xsi:type="dcterms:W3CDTF">2026-04-28T14:11:49Z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0x0101007D19147D094A5C4B9EE833A1EED2612C</vt:lpwstr>
  </property>
  <property fmtid="{D5CDD505-2E9C-101B-9397-08002B2CF9AE}" pid="3" name="MediaServiceImageTags">
    <vt:lpwstr/>
  </property>
  <property fmtid="{D5CDD505-2E9C-101B-9397-08002B2CF9AE}" pid="4" name="_ExtendedDescription">
    <vt:lpwstr/>
  </property>
  <property fmtid="{D5CDD505-2E9C-101B-9397-08002B2CF9AE}" pid="5" name="SV_QUERY_LIST_4F35BF76-6C0D-4D9B-82B2-816C12CF3733">
    <vt:lpwstr>empty_477D106A-C0D6-4607-AEBD-E2C9D60EA279</vt:lpwstr>
  </property>
  <property fmtid="{D5CDD505-2E9C-101B-9397-08002B2CF9AE}" pid="6" name="SV_HIDDEN_GRID_QUERY_LIST_4F35BF76-6C0D-4D9B-82B2-816C12CF3733">
    <vt:lpwstr>empty_477D106A-C0D6-4607-AEBD-E2C9D60EA279</vt:lpwstr>
  </property>
</Properties>
</file>