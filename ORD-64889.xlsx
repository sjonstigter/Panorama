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tigter_S\Downloads\"/>
    </mc:Choice>
  </mc:AlternateContent>
  <xr:revisionPtr revIDLastSave="0" documentId="13_ncr:1_{83822807-067F-48D2-983B-0B4C8ECAF654}" xr6:coauthVersionLast="47" xr6:coauthVersionMax="47" xr10:uidLastSave="{00000000-0000-0000-0000-000000000000}"/>
  <workbookProtection workbookAlgorithmName="SHA-512" workbookHashValue="PSg+1DJd9DtKShJb9mPwlrWepJgNffzjnUEiA6K31GMY0IGVO32Gpl9Zx2cNlLbxiPy7RhtTqcYZgoAZinh24g==" workbookSaltValue="q6pQ0oSggeYn6GYNj0gYaw==" workbookSpinCount="100000" lockStructure="1"/>
  <bookViews>
    <workbookView xWindow="-96" yWindow="-96" windowWidth="23232" windowHeight="12432" activeTab="3" xr2:uid="{15C7085C-88AC-4616-92CC-7D0E25C01B5C}"/>
  </bookViews>
  <sheets>
    <sheet name="1. Start" sheetId="11" r:id="rId1"/>
    <sheet name="2. Explanation" sheetId="4" r:id="rId2"/>
    <sheet name="3. Contact" sheetId="1" r:id="rId3"/>
    <sheet name="4. FW Rules (1-15)" sheetId="3" r:id="rId4"/>
    <sheet name="5. FW Rules (extended 16-30)" sheetId="13" r:id="rId5"/>
    <sheet name="4. FW Rules (extended 16-30)2" sheetId="12" state="hidden" r:id="rId6"/>
    <sheet name="6. Version History" sheetId="8" r:id="rId7"/>
    <sheet name="Content" sheetId="2" state="hidden" r:id="rId8"/>
    <sheet name="Services" sheetId="9" state="hidden" r:id="rId9"/>
    <sheet name="16-30 OLD" sheetId="6"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8" i="13" l="1" a="1"/>
  <c r="V28" i="13" s="1"/>
  <c r="U28" i="13" a="1"/>
  <c r="U28" i="13" s="1"/>
  <c r="V27" i="13" a="1"/>
  <c r="V27" i="13" s="1"/>
  <c r="U27" i="13"/>
  <c r="U27" i="13" a="1"/>
  <c r="V26" i="13" a="1"/>
  <c r="V26" i="13" s="1"/>
  <c r="U26" i="13" a="1"/>
  <c r="U26" i="13" s="1"/>
  <c r="V25" i="13" a="1"/>
  <c r="V25" i="13" s="1"/>
  <c r="U25" i="13" a="1"/>
  <c r="U25" i="13" s="1"/>
  <c r="V24" i="13" a="1"/>
  <c r="V24" i="13" s="1"/>
  <c r="U24" i="13"/>
  <c r="U24" i="13" a="1"/>
  <c r="V23" i="13" a="1"/>
  <c r="V23" i="13" s="1"/>
  <c r="U23" i="13" a="1"/>
  <c r="U23" i="13" s="1"/>
  <c r="V22" i="13" a="1"/>
  <c r="V22" i="13" s="1"/>
  <c r="U22" i="13" a="1"/>
  <c r="U22" i="13" s="1"/>
  <c r="V21" i="13" a="1"/>
  <c r="V21" i="13" s="1"/>
  <c r="U21" i="13"/>
  <c r="U21" i="13" a="1"/>
  <c r="V20" i="13" a="1"/>
  <c r="V20" i="13" s="1"/>
  <c r="U20" i="13" a="1"/>
  <c r="U20" i="13" s="1"/>
  <c r="V19" i="13" a="1"/>
  <c r="V19" i="13" s="1"/>
  <c r="U19" i="13" a="1"/>
  <c r="U19" i="13" s="1"/>
  <c r="V18" i="13" a="1"/>
  <c r="V18" i="13" s="1"/>
  <c r="U18" i="13"/>
  <c r="U18" i="13" a="1"/>
  <c r="V17" i="13" a="1"/>
  <c r="V17" i="13" s="1"/>
  <c r="U17" i="13" a="1"/>
  <c r="U17" i="13" s="1"/>
  <c r="V16" i="13" a="1"/>
  <c r="V16" i="13" s="1"/>
  <c r="U16" i="13" a="1"/>
  <c r="U16" i="13" s="1"/>
  <c r="V15" i="13" a="1"/>
  <c r="V15" i="13" s="1"/>
  <c r="U15" i="13"/>
  <c r="U15" i="13" a="1"/>
  <c r="V14" i="13" a="1"/>
  <c r="V14" i="13" s="1"/>
  <c r="U14" i="13" a="1"/>
  <c r="U14" i="13" s="1"/>
  <c r="V13" i="13" a="1"/>
  <c r="V13" i="13" s="1"/>
  <c r="U13" i="13" a="1"/>
  <c r="U13" i="13" s="1"/>
  <c r="V28" i="3" a="1"/>
  <c r="V28" i="3" s="1"/>
  <c r="V27" i="3" a="1"/>
  <c r="V27" i="3" s="1"/>
  <c r="V26" i="3" a="1"/>
  <c r="V26" i="3" s="1"/>
  <c r="V25" i="3" a="1"/>
  <c r="V25" i="3" s="1"/>
  <c r="V24" i="3" a="1"/>
  <c r="V24" i="3" s="1"/>
  <c r="V23" i="3" a="1"/>
  <c r="V23" i="3" s="1"/>
  <c r="V22" i="3" a="1"/>
  <c r="V22" i="3" s="1"/>
  <c r="V21" i="3" a="1"/>
  <c r="V21" i="3" s="1"/>
  <c r="V20" i="3" a="1"/>
  <c r="V20" i="3" s="1"/>
  <c r="V19" i="3" a="1"/>
  <c r="V19" i="3" s="1"/>
  <c r="V18" i="3" a="1"/>
  <c r="V18" i="3" s="1"/>
  <c r="V17" i="3" a="1"/>
  <c r="V17" i="3" s="1"/>
  <c r="V16" i="3" a="1"/>
  <c r="V16" i="3" s="1"/>
  <c r="V15" i="3" a="1"/>
  <c r="V15" i="3" s="1"/>
  <c r="V14" i="3" a="1"/>
  <c r="V14" i="3" s="1"/>
  <c r="V13" i="3" a="1"/>
  <c r="V13" i="3" s="1"/>
  <c r="U28" i="3" a="1"/>
  <c r="U28" i="3" s="1"/>
  <c r="U27" i="3" a="1"/>
  <c r="U27" i="3" s="1"/>
  <c r="U26" i="3" a="1"/>
  <c r="U26" i="3" s="1"/>
  <c r="U25" i="3" a="1"/>
  <c r="U25" i="3" s="1"/>
  <c r="U24" i="3" a="1"/>
  <c r="U24" i="3" s="1"/>
  <c r="U23" i="3" a="1"/>
  <c r="U23" i="3" s="1"/>
  <c r="U22" i="3" a="1"/>
  <c r="U22" i="3" s="1"/>
  <c r="U21" i="3" a="1"/>
  <c r="U21" i="3" s="1"/>
  <c r="U20" i="3" a="1"/>
  <c r="U20" i="3" s="1"/>
  <c r="U19" i="3" a="1"/>
  <c r="U19" i="3" s="1"/>
  <c r="U18" i="3" a="1"/>
  <c r="U18" i="3" s="1"/>
  <c r="U17" i="3" a="1"/>
  <c r="U17" i="3" s="1"/>
  <c r="U16" i="3" a="1"/>
  <c r="U16" i="3" s="1"/>
  <c r="U15" i="3" a="1"/>
  <c r="U15" i="3" s="1"/>
  <c r="U14" i="3" a="1"/>
  <c r="U14" i="3" s="1"/>
  <c r="U13" i="3" a="1"/>
  <c r="U13" i="3" s="1"/>
  <c r="V28" i="12" a="1"/>
  <c r="V28" i="12" s="1"/>
  <c r="U28" i="12" a="1"/>
  <c r="U28" i="12" s="1"/>
  <c r="V27" i="12" a="1"/>
  <c r="V27" i="12" s="1"/>
  <c r="U27" i="12"/>
  <c r="U27" i="12" a="1"/>
  <c r="V26" i="12" a="1"/>
  <c r="V26" i="12" s="1"/>
  <c r="U26" i="12" a="1"/>
  <c r="U26" i="12" s="1"/>
  <c r="V25" i="12" a="1"/>
  <c r="V25" i="12" s="1"/>
  <c r="U25" i="12" a="1"/>
  <c r="U25" i="12" s="1"/>
  <c r="V24" i="12" a="1"/>
  <c r="V24" i="12" s="1"/>
  <c r="U24" i="12"/>
  <c r="U24" i="12" a="1"/>
  <c r="V23" i="12" a="1"/>
  <c r="V23" i="12" s="1"/>
  <c r="U23" i="12" a="1"/>
  <c r="U23" i="12" s="1"/>
  <c r="V22" i="12" a="1"/>
  <c r="V22" i="12" s="1"/>
  <c r="U22" i="12" a="1"/>
  <c r="U22" i="12" s="1"/>
  <c r="V21" i="12" a="1"/>
  <c r="V21" i="12" s="1"/>
  <c r="U21" i="12"/>
  <c r="U21" i="12" a="1"/>
  <c r="V20" i="12" a="1"/>
  <c r="V20" i="12" s="1"/>
  <c r="U20" i="12" a="1"/>
  <c r="U20" i="12" s="1"/>
  <c r="V19" i="12" a="1"/>
  <c r="V19" i="12" s="1"/>
  <c r="U19" i="12" a="1"/>
  <c r="U19" i="12" s="1"/>
  <c r="V18" i="12" a="1"/>
  <c r="V18" i="12" s="1"/>
  <c r="U18" i="12"/>
  <c r="U18" i="12" a="1"/>
  <c r="V17" i="12" a="1"/>
  <c r="V17" i="12" s="1"/>
  <c r="U17" i="12" a="1"/>
  <c r="U17" i="12" s="1"/>
  <c r="V16" i="12" a="1"/>
  <c r="V16" i="12" s="1"/>
  <c r="U16" i="12" a="1"/>
  <c r="U16" i="12" s="1"/>
  <c r="V15" i="12" a="1"/>
  <c r="V15" i="12" s="1"/>
  <c r="U15" i="12"/>
  <c r="U15" i="12" a="1"/>
  <c r="V14" i="12" a="1"/>
  <c r="V14" i="12" s="1"/>
  <c r="U14" i="12" a="1"/>
  <c r="U14" i="12" s="1"/>
  <c r="V13" i="12" a="1"/>
  <c r="V13" i="12" s="1"/>
  <c r="U13" i="12" a="1"/>
  <c r="U13" i="12" s="1"/>
  <c r="C28" i="6"/>
  <c r="C27" i="6"/>
  <c r="C26" i="6"/>
  <c r="C25" i="6"/>
  <c r="C24" i="6"/>
  <c r="C23" i="6"/>
  <c r="C22" i="6"/>
  <c r="C21" i="6"/>
  <c r="C20" i="6"/>
  <c r="C19" i="6"/>
  <c r="C18" i="6"/>
  <c r="C17" i="6"/>
  <c r="C16" i="6"/>
  <c r="C15" i="6"/>
  <c r="C14" i="6"/>
  <c r="F23" i="9"/>
  <c r="F22" i="9"/>
  <c r="F21" i="9"/>
  <c r="F20" i="9"/>
  <c r="F19" i="9"/>
  <c r="F18" i="9"/>
  <c r="F17" i="9"/>
  <c r="F16" i="9"/>
  <c r="F15" i="9"/>
  <c r="F14" i="9"/>
  <c r="F13" i="9"/>
  <c r="F12" i="9"/>
  <c r="F11" i="9"/>
  <c r="F10" i="9"/>
  <c r="F9" i="9"/>
  <c r="F8" i="9"/>
  <c r="F7" i="9"/>
  <c r="F6" i="9"/>
  <c r="F5" i="9"/>
  <c r="F4" i="9"/>
  <c r="F2" i="9"/>
  <c r="F24" i="9"/>
  <c r="U13" i="6" l="1" a="1"/>
  <c r="U13" i="6" s="1"/>
  <c r="T13" i="6" a="1"/>
  <c r="T13" i="6" s="1"/>
  <c r="U28" i="6" a="1"/>
  <c r="U28" i="6" s="1"/>
  <c r="U27" i="6" a="1"/>
  <c r="U27" i="6" s="1"/>
  <c r="U26" i="6" a="1"/>
  <c r="U26" i="6" s="1"/>
  <c r="U25" i="6" a="1"/>
  <c r="U25" i="6" s="1"/>
  <c r="U24" i="6" a="1"/>
  <c r="U24" i="6" s="1"/>
  <c r="U23" i="6" a="1"/>
  <c r="U23" i="6" s="1"/>
  <c r="U22" i="6" a="1"/>
  <c r="U22" i="6" s="1"/>
  <c r="U21" i="6" a="1"/>
  <c r="U21" i="6" s="1"/>
  <c r="U20" i="6" a="1"/>
  <c r="U20" i="6" s="1"/>
  <c r="U19" i="6" a="1"/>
  <c r="U19" i="6" s="1"/>
  <c r="U18" i="6" a="1"/>
  <c r="U18" i="6" s="1"/>
  <c r="U17" i="6" a="1"/>
  <c r="U17" i="6" s="1"/>
  <c r="U16" i="6" a="1"/>
  <c r="U16" i="6" s="1"/>
  <c r="U15" i="6" a="1"/>
  <c r="U15" i="6" s="1"/>
  <c r="U14" i="6" a="1"/>
  <c r="U14" i="6" s="1"/>
  <c r="T28" i="6" a="1"/>
  <c r="T28" i="6" s="1"/>
  <c r="T27" i="6" a="1"/>
  <c r="T27" i="6" s="1"/>
  <c r="T26" i="6" a="1"/>
  <c r="T26" i="6" s="1"/>
  <c r="T25" i="6" a="1"/>
  <c r="T25" i="6" s="1"/>
  <c r="T24" i="6" a="1"/>
  <c r="T24" i="6" s="1"/>
  <c r="T23" i="6" a="1"/>
  <c r="T23" i="6" s="1"/>
  <c r="T22" i="6" a="1"/>
  <c r="T22" i="6" s="1"/>
  <c r="T21" i="6" a="1"/>
  <c r="T21" i="6" s="1"/>
  <c r="T20" i="6" a="1"/>
  <c r="T20" i="6" s="1"/>
  <c r="T19" i="6" a="1"/>
  <c r="T19" i="6" s="1"/>
  <c r="T18" i="6" a="1"/>
  <c r="T18" i="6" s="1"/>
  <c r="T17" i="6" a="1"/>
  <c r="T17" i="6" s="1"/>
  <c r="T16" i="6" a="1"/>
  <c r="T16" i="6" s="1"/>
  <c r="T15" i="6" a="1"/>
  <c r="T15" i="6" s="1"/>
  <c r="T14" i="6" a="1"/>
  <c r="T1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Hofstede, Lydell</author>
    <author>Graaf, Richard van der</author>
  </authors>
  <commentList>
    <comment ref="D12" authorId="0" shapeId="0" xr:uid="{198694D3-3EEC-4FB0-AF46-BB3F5B970086}">
      <text>
        <r>
          <rPr>
            <sz val="9"/>
            <color indexed="81"/>
            <rFont val="Tahoma"/>
            <family val="2"/>
          </rPr>
          <t>(1) Please submit this FW change form via the IT Webshop.
(2) The form will only be processed if all mandatory fields are filled in.
(3) The form will only be processed if all fields are correctly filled in as described under the explanation tab.
(4) The form will only be processed if the latest version is used.
(5) Questions regarding how to fill in this form, please contact us via  fw-intake@schiphol.nl
(6) A firewall change may be split in several subtasks and forwarded to both ST and ET.  
(7) Additional information on how to fill the form, please turn to the Explanation sheet below.</t>
        </r>
      </text>
    </comment>
    <comment ref="E19" authorId="1" shapeId="0" xr:uid="{7A944C8C-43AE-4F72-A3E8-92C83EAE623B}">
      <text>
        <r>
          <rPr>
            <sz val="9"/>
            <color indexed="81"/>
            <rFont val="Tahoma"/>
            <charset val="1"/>
          </rPr>
          <t xml:space="preserve">If Remove rules, then delivery to all groups.
</t>
        </r>
      </text>
    </comment>
    <comment ref="E21" authorId="1" shapeId="0" xr:uid="{FDA35806-5659-4C20-A529-C1B9CCCE1EAB}">
      <text>
        <r>
          <rPr>
            <b/>
            <sz val="9"/>
            <color indexed="81"/>
            <rFont val="Tahoma"/>
            <family val="2"/>
          </rPr>
          <t>Link to design document for more context.</t>
        </r>
      </text>
    </comment>
    <comment ref="E23" authorId="1" shapeId="0" xr:uid="{0A045CCD-6E98-415C-A8E1-70E1795E5443}">
      <text>
        <r>
          <rPr>
            <b/>
            <sz val="9"/>
            <color indexed="81"/>
            <rFont val="Tahoma"/>
            <family val="2"/>
          </rPr>
          <t>Upload this form to the ABDO ISE - Firewall environment!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Graaf, Richard van der</author>
  </authors>
  <commentList>
    <comment ref="E8" authorId="0" shapeId="0" xr:uid="{91782295-CD00-4F9B-B750-B87002815485}">
      <text>
        <r>
          <rPr>
            <b/>
            <sz val="9"/>
            <color indexed="81"/>
            <rFont val="Tahoma"/>
            <family val="2"/>
          </rPr>
          <t xml:space="preserve">The indicator gives more information on the field.
</t>
        </r>
      </text>
    </comment>
    <comment ref="U11" authorId="0" shapeId="0" xr:uid="{11D39A11-1AE7-4EBB-994F-4C9E77DE8511}">
      <text>
        <r>
          <rPr>
            <sz val="9"/>
            <color indexed="81"/>
            <rFont val="Tahoma"/>
            <family val="2"/>
          </rPr>
          <t xml:space="preserve">Applicable for the IT Servicedesk only.
</t>
        </r>
      </text>
    </comment>
    <comment ref="C12" authorId="0" shapeId="0" xr:uid="{DCFDEE99-6791-4A35-9B0D-B7F7AE8E4436}">
      <text>
        <r>
          <rPr>
            <b/>
            <sz val="9"/>
            <color indexed="81"/>
            <rFont val="Tahoma"/>
            <family val="2"/>
          </rPr>
          <t>MUST: Description may including short application name &amp; environment.</t>
        </r>
      </text>
    </comment>
    <comment ref="D12" authorId="0" shapeId="0" xr:uid="{B9DEA1CE-F4C0-46A6-9922-E91D3E0D613D}">
      <text>
        <r>
          <rPr>
            <b/>
            <sz val="9"/>
            <color indexed="81"/>
            <rFont val="Tahoma"/>
            <family val="2"/>
          </rPr>
          <t>MUST: Application number here. Used for tagging firewall rules!</t>
        </r>
        <r>
          <rPr>
            <sz val="9"/>
            <color indexed="81"/>
            <rFont val="Tahoma"/>
            <family val="2"/>
          </rPr>
          <t xml:space="preserve">
</t>
        </r>
      </text>
    </comment>
    <comment ref="E12" authorId="0" shapeId="0" xr:uid="{75FEFAFC-3319-4A31-9C53-B5FD78672112}">
      <text>
        <r>
          <rPr>
            <b/>
            <sz val="9"/>
            <color indexed="81"/>
            <rFont val="Tahoma"/>
            <family val="2"/>
          </rPr>
          <t xml:space="preserve">MUST:
GREEN: Valid IP-address.
ORANGE: IP Range --&gt; Manual Check by SD.
VPN Global Protect --&gt; Contact Managed Devices.
</t>
        </r>
      </text>
    </comment>
    <comment ref="F12" authorId="0" shapeId="0" xr:uid="{1113BE5A-F385-43DA-A553-8DF0DCF8992D}">
      <text>
        <r>
          <rPr>
            <b/>
            <sz val="9"/>
            <color indexed="81"/>
            <rFont val="Tahoma"/>
            <family val="2"/>
          </rPr>
          <t>MUST: 
The FQDN or EPG of the device/domain
that initiates the connection.</t>
        </r>
      </text>
    </comment>
    <comment ref="G12" authorId="0" shapeId="0" xr:uid="{EAFBC5E2-1C44-4DE5-9F27-40B0CC45731B}">
      <text>
        <r>
          <rPr>
            <sz val="9"/>
            <color indexed="81"/>
            <rFont val="Tahoma"/>
            <family val="2"/>
          </rPr>
          <t xml:space="preserve">Source Network Zone (optional).
</t>
        </r>
      </text>
    </comment>
    <comment ref="I12" authorId="0" shapeId="0" xr:uid="{97432936-FA8A-47A6-BF6A-D13C20781AB2}">
      <text>
        <r>
          <rPr>
            <b/>
            <sz val="9"/>
            <color indexed="81"/>
            <rFont val="Tahoma"/>
            <family val="2"/>
          </rPr>
          <t>Only for Global Protect VPN access. 
MS AD Group access name.</t>
        </r>
      </text>
    </comment>
    <comment ref="J12" authorId="0" shapeId="0" xr:uid="{2A9EFD22-A88B-40F8-8D75-CCE8D3DE97B1}">
      <text>
        <r>
          <rPr>
            <b/>
            <sz val="9"/>
            <color indexed="81"/>
            <rFont val="Tahoma"/>
            <family val="2"/>
          </rPr>
          <t>CI nr of the reached application.</t>
        </r>
      </text>
    </comment>
    <comment ref="K12" authorId="0" shapeId="0" xr:uid="{0422DB54-B7B3-4C04-AFD0-DF3C5A225A93}">
      <text>
        <r>
          <rPr>
            <b/>
            <sz val="9"/>
            <color indexed="81"/>
            <rFont val="Tahoma"/>
            <family val="2"/>
          </rPr>
          <t>MUST:
GREEN: Valid IP-address
ORANGE: IP-Range --&gt; Manual check by SD.</t>
        </r>
      </text>
    </comment>
    <comment ref="L12" authorId="0" shapeId="0" xr:uid="{BC1EC133-3C1A-47D9-92F1-AC7BA8E51F0B}">
      <text>
        <r>
          <rPr>
            <b/>
            <sz val="9"/>
            <color indexed="81"/>
            <rFont val="Tahoma"/>
            <family val="2"/>
          </rPr>
          <t xml:space="preserve">MUST: 
Internet URL or Public Azure Endpoint? --&gt; Use the Forwarding Proxy service!
</t>
        </r>
      </text>
    </comment>
    <comment ref="M12" authorId="0" shapeId="0" xr:uid="{8C8DC214-9238-4BA9-AEFF-DEC0DE01538D}">
      <text>
        <r>
          <rPr>
            <b/>
            <sz val="9"/>
            <color indexed="81"/>
            <rFont val="Tahoma"/>
            <family val="2"/>
          </rPr>
          <t xml:space="preserve">Destination Network Zone (optional).
</t>
        </r>
      </text>
    </comment>
    <comment ref="N12" authorId="0" shapeId="0" xr:uid="{21987C9F-7E69-445B-AC9D-AA662CAA60AF}">
      <text>
        <r>
          <rPr>
            <b/>
            <sz val="9"/>
            <color indexed="81"/>
            <rFont val="Tahoma"/>
            <family val="2"/>
          </rPr>
          <t>Select the needed network service with this rule.</t>
        </r>
      </text>
    </comment>
    <comment ref="O12" authorId="0" shapeId="0" xr:uid="{E8488EB6-0103-45D9-AD2D-965C51FFA315}">
      <text>
        <r>
          <rPr>
            <b/>
            <sz val="9"/>
            <color indexed="81"/>
            <rFont val="Tahoma"/>
            <family val="2"/>
          </rPr>
          <t>MUST: Transport protocol. Either TCP, UDP or ICMP.</t>
        </r>
      </text>
    </comment>
    <comment ref="P12" authorId="0" shapeId="0" xr:uid="{BC998E09-9165-4C11-A3D7-3E5841553303}">
      <text>
        <r>
          <rPr>
            <b/>
            <sz val="9"/>
            <color indexed="81"/>
            <rFont val="Tahoma"/>
            <family val="2"/>
          </rPr>
          <t>MUST: Serviceports of the application. Max 5 Ports per Rule.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Graaf, Richard van der</author>
  </authors>
  <commentList>
    <comment ref="E8" authorId="0" shapeId="0" xr:uid="{DA9D6495-FB92-412D-91F8-074BFDAF6574}">
      <text>
        <r>
          <rPr>
            <b/>
            <sz val="9"/>
            <color indexed="81"/>
            <rFont val="Tahoma"/>
            <family val="2"/>
          </rPr>
          <t xml:space="preserve">The indicator gives more information on the field.
</t>
        </r>
      </text>
    </comment>
    <comment ref="U11" authorId="0" shapeId="0" xr:uid="{95171372-F961-4962-B0ED-B34377273E4B}">
      <text>
        <r>
          <rPr>
            <sz val="9"/>
            <color indexed="81"/>
            <rFont val="Tahoma"/>
            <family val="2"/>
          </rPr>
          <t xml:space="preserve">Applicable for the IT Servicedesk only.
</t>
        </r>
      </text>
    </comment>
    <comment ref="C12" authorId="0" shapeId="0" xr:uid="{1980F1D5-BB3F-4CC4-856B-59180D5753B2}">
      <text>
        <r>
          <rPr>
            <b/>
            <sz val="9"/>
            <color indexed="81"/>
            <rFont val="Tahoma"/>
            <family val="2"/>
          </rPr>
          <t>MUST: Description may including short application name &amp; environment.</t>
        </r>
      </text>
    </comment>
    <comment ref="D12" authorId="0" shapeId="0" xr:uid="{B3001A44-B8F0-4EE8-99B9-835F21BF5A86}">
      <text>
        <r>
          <rPr>
            <b/>
            <sz val="9"/>
            <color indexed="81"/>
            <rFont val="Tahoma"/>
            <family val="2"/>
          </rPr>
          <t>MUST: Application number here. Used for tagging firewall rules!</t>
        </r>
        <r>
          <rPr>
            <sz val="9"/>
            <color indexed="81"/>
            <rFont val="Tahoma"/>
            <family val="2"/>
          </rPr>
          <t xml:space="preserve">
</t>
        </r>
      </text>
    </comment>
    <comment ref="E12" authorId="0" shapeId="0" xr:uid="{EED0FC09-C31E-4AFC-A7B0-C8D110AA11CB}">
      <text>
        <r>
          <rPr>
            <b/>
            <sz val="9"/>
            <color indexed="81"/>
            <rFont val="Tahoma"/>
            <family val="2"/>
          </rPr>
          <t xml:space="preserve">MUST:
GREEN: Valid IP-address.
ORANGE: IP Range --&gt; Manual Check by SD.
VPN Global Protect --&gt; Contact Managed Devices.
</t>
        </r>
      </text>
    </comment>
    <comment ref="F12" authorId="0" shapeId="0" xr:uid="{442A1E6B-D8C7-4685-BCC2-E32D718063A9}">
      <text>
        <r>
          <rPr>
            <b/>
            <sz val="9"/>
            <color indexed="81"/>
            <rFont val="Tahoma"/>
            <family val="2"/>
          </rPr>
          <t>MUST: 
The FQDN or EPG of the device/domain
that initiates the connection.</t>
        </r>
      </text>
    </comment>
    <comment ref="G12" authorId="0" shapeId="0" xr:uid="{4DB78B07-4561-40D6-BC56-78EBBF09F8D4}">
      <text>
        <r>
          <rPr>
            <sz val="9"/>
            <color indexed="81"/>
            <rFont val="Tahoma"/>
            <family val="2"/>
          </rPr>
          <t xml:space="preserve">Source Network Zone (optional).
</t>
        </r>
      </text>
    </comment>
    <comment ref="I12" authorId="0" shapeId="0" xr:uid="{B1746CB0-385B-4AD7-8794-4C1FC08D7782}">
      <text>
        <r>
          <rPr>
            <b/>
            <sz val="9"/>
            <color indexed="81"/>
            <rFont val="Tahoma"/>
            <family val="2"/>
          </rPr>
          <t>Only for Global Protect VPN access. 
MS AD Group access name.</t>
        </r>
      </text>
    </comment>
    <comment ref="J12" authorId="0" shapeId="0" xr:uid="{CC27F3AB-4EE1-41F0-BABE-D756A3C7B6CE}">
      <text>
        <r>
          <rPr>
            <b/>
            <sz val="9"/>
            <color indexed="81"/>
            <rFont val="Tahoma"/>
            <family val="2"/>
          </rPr>
          <t>CI nr of the reached application.</t>
        </r>
      </text>
    </comment>
    <comment ref="K12" authorId="0" shapeId="0" xr:uid="{F4586340-4F3A-4EC8-99D1-6211516D4BA5}">
      <text>
        <r>
          <rPr>
            <b/>
            <sz val="9"/>
            <color indexed="81"/>
            <rFont val="Tahoma"/>
            <family val="2"/>
          </rPr>
          <t>MUST:
GREEN: Valid IP-address
ORANGE: IP-Range --&gt; Manual check by SD.</t>
        </r>
      </text>
    </comment>
    <comment ref="L12" authorId="0" shapeId="0" xr:uid="{DA9864D0-D028-43F5-951B-0D94946CF86B}">
      <text>
        <r>
          <rPr>
            <b/>
            <sz val="9"/>
            <color indexed="81"/>
            <rFont val="Tahoma"/>
            <family val="2"/>
          </rPr>
          <t xml:space="preserve">MUST: 
Internet URL or Public Azure Endpoint? --&gt; Use the Forwarding Proxy service!
</t>
        </r>
      </text>
    </comment>
    <comment ref="M12" authorId="0" shapeId="0" xr:uid="{964E3732-D6F9-4DD5-971F-CA2F01381B0D}">
      <text>
        <r>
          <rPr>
            <b/>
            <sz val="9"/>
            <color indexed="81"/>
            <rFont val="Tahoma"/>
            <family val="2"/>
          </rPr>
          <t xml:space="preserve">Destination Network Zone (optional).
</t>
        </r>
      </text>
    </comment>
    <comment ref="N12" authorId="0" shapeId="0" xr:uid="{6D3E9A25-1B0B-4232-B196-D31F160C2AE9}">
      <text>
        <r>
          <rPr>
            <b/>
            <sz val="9"/>
            <color indexed="81"/>
            <rFont val="Tahoma"/>
            <family val="2"/>
          </rPr>
          <t>Select the needed network service with this rule.</t>
        </r>
      </text>
    </comment>
    <comment ref="O12" authorId="0" shapeId="0" xr:uid="{B1E1729E-093A-42EA-B531-75E1DE477D23}">
      <text>
        <r>
          <rPr>
            <b/>
            <sz val="9"/>
            <color indexed="81"/>
            <rFont val="Tahoma"/>
            <family val="2"/>
          </rPr>
          <t>MUST: Transport protocol. Either TCP, UDP or ICMP.</t>
        </r>
      </text>
    </comment>
    <comment ref="P12" authorId="0" shapeId="0" xr:uid="{5C437FF8-68B1-4549-B436-729F975DB007}">
      <text>
        <r>
          <rPr>
            <b/>
            <sz val="9"/>
            <color indexed="81"/>
            <rFont val="Tahoma"/>
            <family val="2"/>
          </rPr>
          <t>MUST: Serviceports of the application. Max 5 Ports per Rule.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Graaf, Richard van der</author>
  </authors>
  <commentList>
    <comment ref="E8" authorId="0" shapeId="0" xr:uid="{16E946E0-5B8C-4CD9-A7AE-B143ACC022CE}">
      <text>
        <r>
          <rPr>
            <b/>
            <sz val="9"/>
            <color indexed="81"/>
            <rFont val="Tahoma"/>
            <family val="2"/>
          </rPr>
          <t xml:space="preserve">The indicator gives more information on the field.
</t>
        </r>
      </text>
    </comment>
    <comment ref="U11" authorId="0" shapeId="0" xr:uid="{5F643EAF-317B-463A-B2C8-1E11FD9F1A5F}">
      <text>
        <r>
          <rPr>
            <sz val="9"/>
            <color indexed="81"/>
            <rFont val="Tahoma"/>
            <family val="2"/>
          </rPr>
          <t xml:space="preserve">Applicable for the IT Servicedesk only.
</t>
        </r>
      </text>
    </comment>
    <comment ref="C12" authorId="0" shapeId="0" xr:uid="{3A921CC5-174C-4F48-AE9F-F925543EB1BC}">
      <text>
        <r>
          <rPr>
            <b/>
            <sz val="9"/>
            <color indexed="81"/>
            <rFont val="Tahoma"/>
            <family val="2"/>
          </rPr>
          <t>MUST: Description may including short application name &amp; environment.</t>
        </r>
      </text>
    </comment>
    <comment ref="D12" authorId="0" shapeId="0" xr:uid="{05ADD877-5D6C-4107-ACDD-BDD407651A40}">
      <text>
        <r>
          <rPr>
            <b/>
            <sz val="9"/>
            <color indexed="81"/>
            <rFont val="Tahoma"/>
            <family val="2"/>
          </rPr>
          <t>MUST: Application number here. Used for tagging firewall rules!</t>
        </r>
        <r>
          <rPr>
            <sz val="9"/>
            <color indexed="81"/>
            <rFont val="Tahoma"/>
            <family val="2"/>
          </rPr>
          <t xml:space="preserve">
</t>
        </r>
      </text>
    </comment>
    <comment ref="E12" authorId="0" shapeId="0" xr:uid="{ABF98A6E-8587-42A5-8F54-F13E371D12DF}">
      <text>
        <r>
          <rPr>
            <b/>
            <sz val="9"/>
            <color indexed="81"/>
            <rFont val="Tahoma"/>
            <family val="2"/>
          </rPr>
          <t xml:space="preserve">MUST:
GREEN: Valid IP-address.
ORANGE: IP Range --&gt; Manual Check by SD.
VPN Global Protect --&gt; Contact Managed Devices.
</t>
        </r>
      </text>
    </comment>
    <comment ref="F12" authorId="0" shapeId="0" xr:uid="{811CFDCE-5C5F-4A4C-AE04-B61BE54E30AB}">
      <text>
        <r>
          <rPr>
            <b/>
            <sz val="9"/>
            <color indexed="81"/>
            <rFont val="Tahoma"/>
            <family val="2"/>
          </rPr>
          <t>MUST: 
The FQDN or EPG of the device/domain
that initiates the connection.</t>
        </r>
      </text>
    </comment>
    <comment ref="G12" authorId="0" shapeId="0" xr:uid="{42C2C8C1-C56E-4AB9-A68F-C8B6A70C3825}">
      <text>
        <r>
          <rPr>
            <sz val="9"/>
            <color indexed="81"/>
            <rFont val="Tahoma"/>
            <family val="2"/>
          </rPr>
          <t xml:space="preserve">Source Network Zone (optional).
</t>
        </r>
      </text>
    </comment>
    <comment ref="I12" authorId="0" shapeId="0" xr:uid="{E43B10A0-E8D0-4339-A434-42B57627ABE6}">
      <text>
        <r>
          <rPr>
            <b/>
            <sz val="9"/>
            <color indexed="81"/>
            <rFont val="Tahoma"/>
            <family val="2"/>
          </rPr>
          <t>Only for Global Protect VPN access. 
MS AD Group access name.</t>
        </r>
      </text>
    </comment>
    <comment ref="J12" authorId="0" shapeId="0" xr:uid="{7103173B-1EC8-4DB7-A4B4-B4699CD93FA2}">
      <text>
        <r>
          <rPr>
            <b/>
            <sz val="9"/>
            <color indexed="81"/>
            <rFont val="Tahoma"/>
            <family val="2"/>
          </rPr>
          <t>CI nr of the reached application.</t>
        </r>
      </text>
    </comment>
    <comment ref="K12" authorId="0" shapeId="0" xr:uid="{09E7B557-06D5-4DA8-8CD7-05B8F7818005}">
      <text>
        <r>
          <rPr>
            <b/>
            <sz val="9"/>
            <color indexed="81"/>
            <rFont val="Tahoma"/>
            <family val="2"/>
          </rPr>
          <t>MUST:
GREEN: Valid IP-address
ORANGE: IP-Range --&gt; Manual check by SD.</t>
        </r>
      </text>
    </comment>
    <comment ref="L12" authorId="0" shapeId="0" xr:uid="{51251F72-C521-4244-B2F8-6F03D28E49D4}">
      <text>
        <r>
          <rPr>
            <b/>
            <sz val="9"/>
            <color indexed="81"/>
            <rFont val="Tahoma"/>
            <family val="2"/>
          </rPr>
          <t xml:space="preserve">MUST: 
Internet URL or Public Azure Endpoint? --&gt; Use the Forwarding Proxy service!
</t>
        </r>
      </text>
    </comment>
    <comment ref="M12" authorId="0" shapeId="0" xr:uid="{AC323C49-E704-4B93-B095-AE4F634A8344}">
      <text>
        <r>
          <rPr>
            <b/>
            <sz val="9"/>
            <color indexed="81"/>
            <rFont val="Tahoma"/>
            <family val="2"/>
          </rPr>
          <t xml:space="preserve">Destination Network Zone (optional).
</t>
        </r>
      </text>
    </comment>
    <comment ref="N12" authorId="0" shapeId="0" xr:uid="{02A12373-6B7E-48E5-B396-3CFBBB593C6A}">
      <text>
        <r>
          <rPr>
            <b/>
            <sz val="9"/>
            <color indexed="81"/>
            <rFont val="Tahoma"/>
            <family val="2"/>
          </rPr>
          <t>Select the needed network service with this rule.</t>
        </r>
      </text>
    </comment>
    <comment ref="O12" authorId="0" shapeId="0" xr:uid="{576E6486-C90A-4DD0-85E1-06F96F0AE1A8}">
      <text>
        <r>
          <rPr>
            <b/>
            <sz val="9"/>
            <color indexed="81"/>
            <rFont val="Tahoma"/>
            <family val="2"/>
          </rPr>
          <t>MUST: Transport protocol. Either TCP, UDP or ICMP.</t>
        </r>
      </text>
    </comment>
    <comment ref="P12" authorId="0" shapeId="0" xr:uid="{FB6B24FC-4F5E-4F2C-9BE5-4A81DE269C89}">
      <text>
        <r>
          <rPr>
            <b/>
            <sz val="9"/>
            <color indexed="81"/>
            <rFont val="Tahoma"/>
            <family val="2"/>
          </rPr>
          <t>MUST: Serviceports of the application. Max 5 Ports per Rule.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Graaf, Richard van der</author>
  </authors>
  <commentList>
    <comment ref="E8" authorId="0" shapeId="0" xr:uid="{169507D8-F784-4E88-AD4F-25E684D18A49}">
      <text>
        <r>
          <rPr>
            <b/>
            <sz val="9"/>
            <color indexed="81"/>
            <rFont val="Tahoma"/>
            <family val="2"/>
          </rPr>
          <t xml:space="preserve">The indicator gives more information on the field.
</t>
        </r>
      </text>
    </comment>
    <comment ref="T11" authorId="0" shapeId="0" xr:uid="{9A545D88-3658-4F45-BDCB-7A4902C3AD79}">
      <text>
        <r>
          <rPr>
            <sz val="9"/>
            <color indexed="81"/>
            <rFont val="Tahoma"/>
            <family val="2"/>
          </rPr>
          <t xml:space="preserve">Applicable for the IT Servicedesk only.
</t>
        </r>
      </text>
    </comment>
    <comment ref="C12" authorId="0" shapeId="0" xr:uid="{D6C6E0AE-03F8-4AD4-B427-A5197196A540}">
      <text>
        <r>
          <rPr>
            <b/>
            <sz val="9"/>
            <color indexed="81"/>
            <rFont val="Tahoma"/>
            <family val="2"/>
          </rPr>
          <t>MUST: Application CI nr here. Used for tagging firewall rules!</t>
        </r>
        <r>
          <rPr>
            <sz val="9"/>
            <color indexed="81"/>
            <rFont val="Tahoma"/>
            <family val="2"/>
          </rPr>
          <t xml:space="preserve">
</t>
        </r>
      </text>
    </comment>
    <comment ref="D12" authorId="0" shapeId="0" xr:uid="{23B112A2-292B-436F-BE5D-89069B5EEA90}">
      <text>
        <r>
          <rPr>
            <b/>
            <sz val="9"/>
            <color indexed="81"/>
            <rFont val="Tahoma"/>
            <family val="2"/>
          </rPr>
          <t>Must: Description may including short application name &amp; environment.</t>
        </r>
      </text>
    </comment>
    <comment ref="E12" authorId="0" shapeId="0" xr:uid="{6FD64595-6E7B-4B60-A8AE-0DA46A0DA69E}">
      <text>
        <r>
          <rPr>
            <b/>
            <sz val="9"/>
            <color indexed="81"/>
            <rFont val="Tahoma"/>
            <family val="2"/>
          </rPr>
          <t>Must: 
GREEN: Valid IP-address.
ORANGE: IP Range --&gt; Manual Check by SD.
VPN Global Protect range --&gt; Contact Managed Devices.</t>
        </r>
      </text>
    </comment>
    <comment ref="F12" authorId="0" shapeId="0" xr:uid="{8844B95A-9716-4504-B291-B33AA55B7077}">
      <text>
        <r>
          <rPr>
            <b/>
            <sz val="9"/>
            <color indexed="81"/>
            <rFont val="Tahoma"/>
            <family val="2"/>
          </rPr>
          <t>Must: The FQDN or EPG of the device/domain
that initiates the connection.</t>
        </r>
      </text>
    </comment>
    <comment ref="G12" authorId="0" shapeId="0" xr:uid="{81B3AB03-E18D-4104-8D5C-7CB736BDF24F}">
      <text>
        <r>
          <rPr>
            <sz val="9"/>
            <color indexed="81"/>
            <rFont val="Tahoma"/>
            <family val="2"/>
          </rPr>
          <t xml:space="preserve">Source Network Zone (optional).
</t>
        </r>
      </text>
    </comment>
    <comment ref="H12" authorId="0" shapeId="0" xr:uid="{437840AC-C254-45EB-8A97-487608A44DAE}">
      <text>
        <r>
          <rPr>
            <b/>
            <sz val="9"/>
            <color indexed="81"/>
            <rFont val="Tahoma"/>
            <family val="2"/>
          </rPr>
          <t>When using Azure cloud and firewall.</t>
        </r>
        <r>
          <rPr>
            <sz val="9"/>
            <color indexed="81"/>
            <rFont val="Tahoma"/>
            <family val="2"/>
          </rPr>
          <t xml:space="preserve">
</t>
        </r>
      </text>
    </comment>
    <comment ref="I12" authorId="0" shapeId="0" xr:uid="{A3891A9F-4095-404B-8DE6-799DBEDEEB7F}">
      <text>
        <r>
          <rPr>
            <b/>
            <sz val="9"/>
            <color indexed="81"/>
            <rFont val="Tahoma"/>
            <family val="2"/>
          </rPr>
          <t>Only for Global Protect VPN Access: MS AD Group access name.</t>
        </r>
      </text>
    </comment>
    <comment ref="J12" authorId="0" shapeId="0" xr:uid="{20A6BC5E-27B7-4511-AD09-3C810A5A6478}">
      <text>
        <r>
          <rPr>
            <b/>
            <sz val="9"/>
            <color indexed="81"/>
            <rFont val="Tahoma"/>
            <family val="2"/>
          </rPr>
          <t>Must: GREEN: Valid IP-address
ORANGE: IP-Range --&gt; Manual check by SD.</t>
        </r>
      </text>
    </comment>
    <comment ref="K12" authorId="0" shapeId="0" xr:uid="{23AFCFA6-056A-41C5-A181-B4B0364A33B2}">
      <text>
        <r>
          <rPr>
            <b/>
            <sz val="9"/>
            <color indexed="81"/>
            <rFont val="Tahoma"/>
            <family val="2"/>
          </rPr>
          <t xml:space="preserve">Must: 
Internet URL or Public Azure Endpoint? --&gt; Use the Forwarding Proxy service!
</t>
        </r>
      </text>
    </comment>
    <comment ref="L12" authorId="0" shapeId="0" xr:uid="{2E421006-A273-4BBF-86EA-BDC97108C6DC}">
      <text>
        <r>
          <rPr>
            <b/>
            <sz val="9"/>
            <color indexed="81"/>
            <rFont val="Tahoma"/>
            <family val="2"/>
          </rPr>
          <t xml:space="preserve">Destination Network Zone (optional).
</t>
        </r>
      </text>
    </comment>
    <comment ref="M12" authorId="0" shapeId="0" xr:uid="{68E6FB3E-C93F-457B-94C5-0E2B7EAFCCA9}">
      <text>
        <r>
          <rPr>
            <b/>
            <sz val="9"/>
            <color indexed="81"/>
            <rFont val="Tahoma"/>
            <family val="2"/>
          </rPr>
          <t>Select the needed network service with this rule.</t>
        </r>
      </text>
    </comment>
    <comment ref="N12" authorId="0" shapeId="0" xr:uid="{BD18B572-5C04-4BAC-A6AE-863A34DAF1FE}">
      <text>
        <r>
          <rPr>
            <b/>
            <sz val="9"/>
            <color indexed="81"/>
            <rFont val="Tahoma"/>
            <family val="2"/>
          </rPr>
          <t>Must: Transport protocol. Either TCP, UDP or ICMP.</t>
        </r>
      </text>
    </comment>
    <comment ref="O12" authorId="0" shapeId="0" xr:uid="{C6A8EF08-D0F3-4261-9C49-FD4AC35CBAEB}">
      <text>
        <r>
          <rPr>
            <b/>
            <sz val="9"/>
            <color indexed="81"/>
            <rFont val="Tahoma"/>
            <family val="2"/>
          </rPr>
          <t>Must: Serviceports of the application. Max 5 ports per fw rule.</t>
        </r>
      </text>
    </comment>
    <comment ref="P12" authorId="0" shapeId="0" xr:uid="{4CBB4462-9BFD-4F96-A95B-24B574E9622C}">
      <text>
        <r>
          <rPr>
            <b/>
            <sz val="9"/>
            <color indexed="81"/>
            <rFont val="Tahoma"/>
            <family val="2"/>
          </rPr>
          <t>Traffic allow or deny?</t>
        </r>
        <r>
          <rPr>
            <sz val="9"/>
            <color indexed="81"/>
            <rFont val="Tahoma"/>
            <family val="2"/>
          </rPr>
          <t xml:space="preserve">
</t>
        </r>
      </text>
    </comment>
    <comment ref="Q12" authorId="0" shapeId="0" xr:uid="{D4591A51-720C-4A26-8397-06BBA3945C8C}">
      <text>
        <r>
          <rPr>
            <b/>
            <sz val="9"/>
            <color indexed="81"/>
            <rFont val="Tahoma"/>
            <family val="2"/>
          </rPr>
          <t>Rule is temporary or persistent?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<sst xmlns="http://schemas.openxmlformats.org/spreadsheetml/2006/main" count="583" uniqueCount="303">
  <si>
    <t>PLEASE READ THE EXPLANATION SHEET FIRST PRIOR TO SUBMITTING THE CHANGE!</t>
  </si>
  <si>
    <t>Download for offline use, Save As…</t>
  </si>
  <si>
    <t>Field Explanation overview</t>
  </si>
  <si>
    <t>Field</t>
  </si>
  <si>
    <t>Description</t>
  </si>
  <si>
    <t>Example</t>
  </si>
  <si>
    <t>Clear and meaningful description for this rule.</t>
  </si>
  <si>
    <t>Appl_Asset_Prod to App_Asset_Prod</t>
  </si>
  <si>
    <t>This rule applies to this source application. Used for tagging firewall rules!</t>
  </si>
  <si>
    <t>Source IP-address(es). The source that initiates the connection. Can be a range</t>
  </si>
  <si>
    <t>10.2.4.6;  10.226.1.1/8</t>
  </si>
  <si>
    <t>For VPN Global Protect ranges, please contact the Managed Devices team.</t>
  </si>
  <si>
    <t>FQDN or EPG name of the source that initiates the connection. As specific as possible</t>
  </si>
  <si>
    <t>server-name.domein.net</t>
  </si>
  <si>
    <r>
      <t xml:space="preserve">Network Zone </t>
    </r>
    <r>
      <rPr>
        <b/>
        <sz val="8"/>
        <color theme="1"/>
        <rFont val="RSG Variable B04"/>
        <family val="2"/>
      </rPr>
      <t>(2)</t>
    </r>
  </si>
  <si>
    <t>[OPTIONAL] From the zoning architecture: What is the Source Zone.</t>
  </si>
  <si>
    <t>Asset Group: Generic Asset</t>
  </si>
  <si>
    <t>Azure Service Tag</t>
  </si>
  <si>
    <t>When the resource is within the Schiphol Azure Cloud and using Azure Firewalls.</t>
  </si>
  <si>
    <t>Groep ID / MS AD</t>
  </si>
  <si>
    <t>Only for Global Protect VPN configuration. Contact Managed Devices for Group ID.</t>
  </si>
  <si>
    <t xml:space="preserve">G-S-NW-VP-I-ST-NS-OCD-VPN-Test </t>
  </si>
  <si>
    <t>This rule applies to this destination application. Used for tagging firewall rules!</t>
  </si>
  <si>
    <t>Destination IP-address(es). The destination of the connection. Can be a range</t>
  </si>
  <si>
    <t>10.2.4.6; 10.2.4.6/8</t>
  </si>
  <si>
    <t>FQDN or EPG name of the destination of the connection. As specific as possible</t>
  </si>
  <si>
    <t>[OPTIONAL] From the zoning architecture: What is the target Zone.</t>
  </si>
  <si>
    <t>Enterprise Application: Generic</t>
  </si>
  <si>
    <t>Network application/service</t>
  </si>
  <si>
    <t>Describe the network application.</t>
  </si>
  <si>
    <t>https</t>
  </si>
  <si>
    <t>What is the transport protocol: TCP and/or UDP, ICMP</t>
  </si>
  <si>
    <t>TCP</t>
  </si>
  <si>
    <t>The serviceports on which the application is listing. Max 5 ports per fw rule.</t>
  </si>
  <si>
    <t>443, 8080, 8443</t>
  </si>
  <si>
    <t>Is the traffic permitted or denied through this firewall rule?</t>
  </si>
  <si>
    <t>Permit or Deny</t>
  </si>
  <si>
    <t>Yes or No</t>
  </si>
  <si>
    <t>Sheet Contact</t>
  </si>
  <si>
    <t>Use this sheet to fill-in all the necessary contact &amp; administration information.</t>
  </si>
  <si>
    <t xml:space="preserve">Role select: For future use now. Optional  </t>
  </si>
  <si>
    <t>Please provide a link to your application/service design for a better understanding of this change.</t>
  </si>
  <si>
    <t>Sheet FW rules</t>
  </si>
  <si>
    <t>This sheet serves as the input for parsing the code for use in the automation process. Please follow the guidelines as described above!</t>
  </si>
  <si>
    <t>IP Address(es) validation: GREEN = One Valid IP address, ORANGE = IP Range &amp; Manual check by SCT SI</t>
  </si>
  <si>
    <t>Using a Public Internet URL or Public Azure Endpoint as destination? Then a forwarding proxy is needed!</t>
  </si>
  <si>
    <t>Regarding ports numbers, please follow the Internet standards. So HTTPS = 443</t>
  </si>
  <si>
    <t xml:space="preserve"> </t>
  </si>
  <si>
    <t>Regarding protocol &amp; ports numbers, serviceports are of the same protocol (TCP or UDP). No mixing.</t>
  </si>
  <si>
    <t>DNS names should be as specific and restrictive as possible. E.g. microsoft.com is too broad.</t>
  </si>
  <si>
    <t>A maximum of 30 firewall rules is allowed per change request. Please use the Extended sheet for adding more rules (&lt;30).</t>
  </si>
  <si>
    <t>Contact Information</t>
  </si>
  <si>
    <t>Organisation *</t>
  </si>
  <si>
    <t>1451 - Schiphol Group T/ICT</t>
  </si>
  <si>
    <t>Contact person for execution (If different from requestor)</t>
  </si>
  <si>
    <t>Department *</t>
  </si>
  <si>
    <t>Phone number</t>
  </si>
  <si>
    <t>Application Owner</t>
  </si>
  <si>
    <t>E-mail</t>
  </si>
  <si>
    <t>Cost Centre *</t>
  </si>
  <si>
    <t>Customer MPS *</t>
  </si>
  <si>
    <t>Sent on *</t>
  </si>
  <si>
    <t>Projectnumber</t>
  </si>
  <si>
    <t>Desired delivery date</t>
  </si>
  <si>
    <t>Requestor *</t>
  </si>
  <si>
    <t>Phone number *</t>
  </si>
  <si>
    <t>Change type</t>
  </si>
  <si>
    <t>Add rule(s)</t>
  </si>
  <si>
    <t>Requestor role</t>
  </si>
  <si>
    <t>E-mail *</t>
  </si>
  <si>
    <t>Link to Design</t>
  </si>
  <si>
    <t>Manager *</t>
  </si>
  <si>
    <t>No</t>
  </si>
  <si>
    <t>* Mandatory field</t>
  </si>
  <si>
    <t>Template information</t>
  </si>
  <si>
    <t>Please hover over the i-icon and read for additional information.</t>
  </si>
  <si>
    <t>Version</t>
  </si>
  <si>
    <t>Date</t>
  </si>
  <si>
    <t>Author</t>
  </si>
  <si>
    <t>fw-intake@schiphol.nl</t>
  </si>
  <si>
    <t>Check the red indicator</t>
  </si>
  <si>
    <t>SOURCE INFORMATION</t>
  </si>
  <si>
    <t>DESTINATION INFORMATION</t>
  </si>
  <si>
    <t>FOR SCT SI DESK ONLY</t>
  </si>
  <si>
    <t>Row</t>
  </si>
  <si>
    <t>Src. Appl. CI nr</t>
  </si>
  <si>
    <t>Source IP adress(es)</t>
  </si>
  <si>
    <t>DNS name or EPG</t>
  </si>
  <si>
    <t>Network Zone</t>
  </si>
  <si>
    <t>Group ID / MS AD</t>
  </si>
  <si>
    <t>Dest. Appl. CI Nr</t>
  </si>
  <si>
    <t>Destination IP adress(es)</t>
  </si>
  <si>
    <t>Protocol</t>
  </si>
  <si>
    <t>Port(s)</t>
  </si>
  <si>
    <t>Action</t>
  </si>
  <si>
    <t>Persistent Rule</t>
  </si>
  <si>
    <t>Leverancier</t>
  </si>
  <si>
    <t>Regel omschrijving</t>
  </si>
  <si>
    <t>Source Task for</t>
  </si>
  <si>
    <t>Destination Task for</t>
  </si>
  <si>
    <t>vb</t>
  </si>
  <si>
    <t>Appl Asset1 Prod/EPG to Appl Asset2 Prod/EPG</t>
  </si>
  <si>
    <t>10.10.10.10</t>
  </si>
  <si>
    <t>asset1.intra.schiphol.nl</t>
  </si>
  <si>
    <t>External Group: Public Zone</t>
  </si>
  <si>
    <t>9.8.7.6</t>
  </si>
  <si>
    <t>asset2.intra.schiphol.nl</t>
  </si>
  <si>
    <t>Asset Group: Restricted Asset Zone</t>
  </si>
  <si>
    <t>dns</t>
  </si>
  <si>
    <t>UDP</t>
  </si>
  <si>
    <t>Permit</t>
  </si>
  <si>
    <t>Yes</t>
  </si>
  <si>
    <t>Andere</t>
  </si>
  <si>
    <t>vb. for logging, management and monitoring purposes of blip</t>
  </si>
  <si>
    <t>FAST APPROVAL? PLEASE ADD MORE CONTEXT INFORMATION BELOW.</t>
  </si>
  <si>
    <t>NOTES</t>
  </si>
  <si>
    <t>Where to find the CI nr in ICD: IT Infrastructure --&gt; Configuration Items --&gt; CI Name search
Where to find the Network Zoning Policy: https://snbv.sharepoint.com/teams/architecture/SitePages/Policy%20Network%20Zones.aspx</t>
  </si>
  <si>
    <t>VPN Global Protect Source IP-addresses. Please contact the Managed Devices team.</t>
  </si>
  <si>
    <t>Version History table</t>
  </si>
  <si>
    <t>Impact</t>
  </si>
  <si>
    <t>Valid</t>
  </si>
  <si>
    <t>Notes</t>
  </si>
  <si>
    <t>1.0.1</t>
  </si>
  <si>
    <t>Cosmetic</t>
  </si>
  <si>
    <t>NO</t>
  </si>
  <si>
    <t>1.2</t>
  </si>
  <si>
    <t>Minor</t>
  </si>
  <si>
    <t>Remove Azure Service Tag colom</t>
  </si>
  <si>
    <t>1.2.1</t>
  </si>
  <si>
    <t>1.2.2</t>
  </si>
  <si>
    <t>EPG namen opnemen in DNS veld, sftp service toegevoegd aan dropdown, verwijzing naar zoneringsdocument toegevoegd.</t>
  </si>
  <si>
    <t>1.3</t>
  </si>
  <si>
    <t>Add projectnumber, Add Network zone is additional, Add room for more context.</t>
  </si>
  <si>
    <t>1.3.1</t>
  </si>
  <si>
    <t>Add statement that only version N and N-1 will be processed.</t>
  </si>
  <si>
    <t>Add field for link to design</t>
  </si>
  <si>
    <t>1.4</t>
  </si>
  <si>
    <t>Add version history tab</t>
  </si>
  <si>
    <t>1.4.1</t>
  </si>
  <si>
    <t>AZURE OPS is now AZURE OPS and SDDC</t>
  </si>
  <si>
    <t>EESK or SSPC = Password protection required</t>
  </si>
  <si>
    <t>1.5</t>
  </si>
  <si>
    <t>YES</t>
  </si>
  <si>
    <t>New AMS Logo and max 5 ports</t>
  </si>
  <si>
    <t>1.5.1</t>
  </si>
  <si>
    <t>ST to SCT and adding OCD as solution group</t>
  </si>
  <si>
    <t>1.5.2</t>
  </si>
  <si>
    <t>Change in demarcation, formula and check on protocol and portnumbers.</t>
  </si>
  <si>
    <t>1.6.0</t>
  </si>
  <si>
    <t>New Layout</t>
  </si>
  <si>
    <t>Connection Type</t>
  </si>
  <si>
    <t>Change Type</t>
  </si>
  <si>
    <t>Network zones</t>
  </si>
  <si>
    <t>Version change</t>
  </si>
  <si>
    <t>Roles</t>
  </si>
  <si>
    <t>Organisations</t>
  </si>
  <si>
    <t>browser-based</t>
  </si>
  <si>
    <t>Major</t>
  </si>
  <si>
    <t>Architect</t>
  </si>
  <si>
    <t>client-server</t>
  </si>
  <si>
    <t>Modify rule(s)</t>
  </si>
  <si>
    <t>Asset Group: Generic Asset Zone</t>
  </si>
  <si>
    <t>Functioneel Applicatie Manager</t>
  </si>
  <si>
    <t>6421 - Schiphol Commercial</t>
  </si>
  <si>
    <t>network-protocol</t>
  </si>
  <si>
    <t>Remove rule(s)</t>
  </si>
  <si>
    <t>Enterprise Application Group: Restricted Application Zone</t>
  </si>
  <si>
    <t>Lead Engineer</t>
  </si>
  <si>
    <t>1002 - SCT</t>
  </si>
  <si>
    <t>peer-to-peer</t>
  </si>
  <si>
    <t>Enterprise Application Group: Generic Application Zone</t>
  </si>
  <si>
    <t>ABDO loket</t>
  </si>
  <si>
    <t>3157 - Robert Bosch (for SG)</t>
  </si>
  <si>
    <t>External Access Group: Public Access Zone</t>
  </si>
  <si>
    <t>Portnummers</t>
  </si>
  <si>
    <t>Service Manager</t>
  </si>
  <si>
    <t>Applicaties</t>
  </si>
  <si>
    <t>Leveranciers</t>
  </si>
  <si>
    <t>Actie</t>
  </si>
  <si>
    <t>External Access Group: Extranet Zone</t>
  </si>
  <si>
    <t>1-65535</t>
  </si>
  <si>
    <t>Other</t>
  </si>
  <si>
    <t>Microsoft</t>
  </si>
  <si>
    <t>dhcp</t>
  </si>
  <si>
    <t>Oracle</t>
  </si>
  <si>
    <t>Deny</t>
  </si>
  <si>
    <t>External Group: Workplace Zone</t>
  </si>
  <si>
    <t>Redhat</t>
  </si>
  <si>
    <t>Common Service Group: Management Service Zone</t>
  </si>
  <si>
    <t>jrmp</t>
  </si>
  <si>
    <t>IBM</t>
  </si>
  <si>
    <t>Common Service Group: Shared Service Zone</t>
  </si>
  <si>
    <t>ntp</t>
  </si>
  <si>
    <t>Splunk</t>
  </si>
  <si>
    <t>Not Applicable</t>
  </si>
  <si>
    <t>ldap</t>
  </si>
  <si>
    <t>Zabbix</t>
  </si>
  <si>
    <t>ping</t>
  </si>
  <si>
    <t>Salesforce</t>
  </si>
  <si>
    <t>Servicedesk call script</t>
  </si>
  <si>
    <t>radius</t>
  </si>
  <si>
    <t>Cisco</t>
  </si>
  <si>
    <t>1.            Source or Destination contains 10.220, 10.221, 10.222, 10.223, 10.224, 10.225 or 10.229 -&gt; Task for SDDC (check the next line)</t>
  </si>
  <si>
    <t>ssh</t>
  </si>
  <si>
    <t>Atlassian</t>
  </si>
  <si>
    <t>2.            Source or Destination contains 10.226, 10.227, 10.205 -&gt; Task for Azure OPS (check the next line)</t>
  </si>
  <si>
    <t>ssl</t>
  </si>
  <si>
    <t>3.            Source or Destination contains 10.205.37, 10.205.38, 10.205.69, 10.205.31, 10.205.28, 10.205.27 -&gt; Platform-Runtime and Azure OPS (check the next line)</t>
  </si>
  <si>
    <t>syslog</t>
  </si>
  <si>
    <t>TCP/UDP</t>
  </si>
  <si>
    <t>4.            Source or Destination contains 10.229.16, 10.229.17, 10.229.18, 10.229.19, 10.229.20, 10.229.21, 10.229.25, 10.229.26 -&gt; Platform-Runtime and SDDC (check the next line)</t>
  </si>
  <si>
    <t>tacacs</t>
  </si>
  <si>
    <t>ICMP</t>
  </si>
  <si>
    <t>5.            Source or Destination contains any other IP -&gt; Task for ST SI AANVRAGEN (check the next line)</t>
  </si>
  <si>
    <t>file-sharing</t>
  </si>
  <si>
    <t>http-proxy</t>
  </si>
  <si>
    <t>Servicedesk call script per 28 april 2025</t>
  </si>
  <si>
    <t>itunes-base</t>
  </si>
  <si>
    <t>1.  Source or Destination contains 10.220, 10.221, 10.222, 10.223, 10.224, 10.225 or 10.229 -&gt; Task for SDDC (check the next line)</t>
  </si>
  <si>
    <t>kerberos</t>
  </si>
  <si>
    <t>2.  Source or Destination contains 10.226, 10.227, 10.205 -&gt; Task for Azure OPS (check the next line)</t>
  </si>
  <si>
    <t>ms-ds-smbv3</t>
  </si>
  <si>
    <t>3.  Source or Destination contains 10.205.37, 10.205.38, 10.205.69, 10.205.31, 10.205.28, 10.205.27 -&gt; Platform-Runtime and Azure OPS (check the next line)</t>
  </si>
  <si>
    <t>ms-sql-db-encrypted</t>
  </si>
  <si>
    <t>4.  Source or Destination contains 10.229.16, 10.229.17, 10.229.18, 10.229.19, 10.229.20, 10.229.21 -&gt; Platform-Runtime and SDDC (check the next line)</t>
  </si>
  <si>
    <t>ms-teams-audio-video</t>
  </si>
  <si>
    <t>5.  Source or Destination contains any other IP -&gt; Task for ST SI AANVRAGEN (check the next line)</t>
  </si>
  <si>
    <t>netbios-ns</t>
  </si>
  <si>
    <t>6.  If only 1 AND 2 are true: Task for all three: SDDC and Azure OPS</t>
  </si>
  <si>
    <t>oracle</t>
  </si>
  <si>
    <t>7.  If only 1 AND 3 are true: Task for all four: SDDC, Azure OPS and Platform-Runtime</t>
  </si>
  <si>
    <t>outlook-web-online</t>
  </si>
  <si>
    <t>8.  If only 1 AND 4 are true: Task for all three: SDDC and Platform-Runtime</t>
  </si>
  <si>
    <t>rtcp</t>
  </si>
  <si>
    <t>9.  If only 2 AND 3 are true: Task for both: Azure OPS and Platform-Runtime</t>
  </si>
  <si>
    <t>sharepoint-online</t>
  </si>
  <si>
    <t>10.  If Change Type on page 1 is "Regel(s) verwijderen": Task for all four: SDDC, Azure OPS, Platform-Runtime and ST SI AANVRAGEN</t>
  </si>
  <si>
    <t>snmp-trap</t>
  </si>
  <si>
    <t>snmpv3</t>
  </si>
  <si>
    <t>10.220, 10.221, 10.222, 10.223, 10.224, 10.225, 10.229</t>
  </si>
  <si>
    <t>SDDC</t>
  </si>
  <si>
    <t>soap</t>
  </si>
  <si>
    <t>10.226, 10.227, 10.205</t>
  </si>
  <si>
    <t>AZURE OPS and SDDC</t>
  </si>
  <si>
    <t>vnc-base</t>
  </si>
  <si>
    <t>10.205.37, 10.205.38, 10.205.69, 10.205.31, 10.205.28, 10.205.27</t>
  </si>
  <si>
    <t>RUNTIME_AZURE_OPS</t>
  </si>
  <si>
    <t>web-browsing</t>
  </si>
  <si>
    <t>10.229.16, 10.229.17, 10.229.18, 10.229.19, 10.229.20, 10.229.21</t>
  </si>
  <si>
    <t>RUNTIME_SDDC</t>
  </si>
  <si>
    <t>sftp</t>
  </si>
  <si>
    <t>rdp</t>
  </si>
  <si>
    <t>other</t>
  </si>
  <si>
    <t>Port</t>
  </si>
  <si>
    <t>Service</t>
  </si>
  <si>
    <t>67, 68</t>
  </si>
  <si>
    <t>ldaps</t>
  </si>
  <si>
    <t>Appl/CI nr</t>
  </si>
  <si>
    <t>* Required/mandatory field. If not filled in, the form will not be processed!</t>
  </si>
  <si>
    <r>
      <t xml:space="preserve">Description </t>
    </r>
    <r>
      <rPr>
        <b/>
        <sz val="10"/>
        <color theme="5"/>
        <rFont val="RSG Variable B04"/>
        <family val="2"/>
      </rPr>
      <t>*</t>
    </r>
  </si>
  <si>
    <r>
      <t xml:space="preserve">Src. Appl.CI nr </t>
    </r>
    <r>
      <rPr>
        <b/>
        <sz val="8"/>
        <color theme="1"/>
        <rFont val="RSG Variable B04"/>
        <family val="2"/>
      </rPr>
      <t>(1)</t>
    </r>
    <r>
      <rPr>
        <b/>
        <sz val="10"/>
        <color theme="1"/>
        <rFont val="RSG Variable B04"/>
        <family val="2"/>
      </rPr>
      <t xml:space="preserve"> </t>
    </r>
    <r>
      <rPr>
        <b/>
        <sz val="10"/>
        <color theme="5"/>
        <rFont val="RSG Variable B04"/>
        <family val="2"/>
      </rPr>
      <t>*</t>
    </r>
  </si>
  <si>
    <r>
      <t xml:space="preserve">Source IP address(es) </t>
    </r>
    <r>
      <rPr>
        <b/>
        <sz val="10"/>
        <color theme="5"/>
        <rFont val="RSG Variable B04"/>
        <family val="2"/>
      </rPr>
      <t>*</t>
    </r>
  </si>
  <si>
    <r>
      <t xml:space="preserve">DNS name or EPG </t>
    </r>
    <r>
      <rPr>
        <b/>
        <sz val="10"/>
        <color theme="5"/>
        <rFont val="RSG Variable B04"/>
        <family val="2"/>
      </rPr>
      <t>*</t>
    </r>
  </si>
  <si>
    <r>
      <t xml:space="preserve">Dst. Appl.CI nr </t>
    </r>
    <r>
      <rPr>
        <b/>
        <sz val="8"/>
        <color theme="1"/>
        <rFont val="RSG Variable B04"/>
        <family val="2"/>
      </rPr>
      <t>(1)</t>
    </r>
    <r>
      <rPr>
        <b/>
        <sz val="10"/>
        <color theme="1"/>
        <rFont val="RSG Variable B04"/>
        <family val="2"/>
      </rPr>
      <t xml:space="preserve"> </t>
    </r>
    <r>
      <rPr>
        <b/>
        <sz val="10"/>
        <color theme="5"/>
        <rFont val="RSG Variable B04"/>
        <family val="2"/>
      </rPr>
      <t>*</t>
    </r>
  </si>
  <si>
    <r>
      <t xml:space="preserve">Dest. IP address(es) </t>
    </r>
    <r>
      <rPr>
        <b/>
        <sz val="10"/>
        <color theme="5"/>
        <rFont val="RSG Variable B04"/>
        <family val="2"/>
      </rPr>
      <t>*</t>
    </r>
  </si>
  <si>
    <r>
      <t xml:space="preserve">Protocol </t>
    </r>
    <r>
      <rPr>
        <b/>
        <sz val="10"/>
        <color theme="5"/>
        <rFont val="RSG Variable B04"/>
        <family val="2"/>
      </rPr>
      <t>*</t>
    </r>
  </si>
  <si>
    <r>
      <t xml:space="preserve">Port(s) number </t>
    </r>
    <r>
      <rPr>
        <b/>
        <sz val="10"/>
        <color theme="5"/>
        <rFont val="RSG Variable B04"/>
        <family val="2"/>
      </rPr>
      <t>*</t>
    </r>
  </si>
  <si>
    <r>
      <t xml:space="preserve">Action </t>
    </r>
    <r>
      <rPr>
        <b/>
        <sz val="10"/>
        <color theme="5"/>
        <rFont val="RSG Variable B04"/>
        <family val="2"/>
      </rPr>
      <t>*</t>
    </r>
  </si>
  <si>
    <r>
      <t xml:space="preserve">Persistent rule </t>
    </r>
    <r>
      <rPr>
        <b/>
        <sz val="10"/>
        <color theme="5"/>
        <rFont val="RSG Variable B04"/>
        <family val="2"/>
      </rPr>
      <t>*</t>
    </r>
  </si>
  <si>
    <r>
      <t xml:space="preserve">(1) Mandatory is the </t>
    </r>
    <r>
      <rPr>
        <b/>
        <sz val="10"/>
        <color theme="5"/>
        <rFont val="RSG Variable B04"/>
        <family val="2"/>
      </rPr>
      <t>CI number</t>
    </r>
    <r>
      <rPr>
        <sz val="10"/>
        <color theme="1"/>
        <rFont val="RSG Variable B04"/>
        <family val="2"/>
      </rPr>
      <t xml:space="preserve"> of the Schiphol Application from ICD. </t>
    </r>
    <r>
      <rPr>
        <b/>
        <sz val="10"/>
        <color theme="5"/>
        <rFont val="RSG Variable B04"/>
        <family val="2"/>
      </rPr>
      <t>Within ICD: IT Infrastructure --&gt; Configuration Items --&gt; CI Name search</t>
    </r>
  </si>
  <si>
    <r>
      <t xml:space="preserve">(2) </t>
    </r>
    <r>
      <rPr>
        <b/>
        <sz val="10"/>
        <color theme="5"/>
        <rFont val="RSG Variable B04"/>
        <family val="2"/>
      </rPr>
      <t>Network zoning policy</t>
    </r>
    <r>
      <rPr>
        <sz val="10"/>
        <rFont val="RSG Variable B04"/>
        <family val="2"/>
      </rPr>
      <t>: https://snbv.sharepoint.com/teams/architecture/SitePages/Policy%20Network%20Zones.aspx</t>
    </r>
  </si>
  <si>
    <t>New Layout and some field changes, including CI numbers for source and targetted application.</t>
  </si>
  <si>
    <t>Firewall Change Form 1.6.1</t>
  </si>
  <si>
    <t>Date: Mei 2026</t>
  </si>
  <si>
    <t>1.6.1</t>
  </si>
  <si>
    <t>ABDO/ABRO Change</t>
  </si>
  <si>
    <t>If request is 'Remove rule(s)' then delivery to all firewall groups.</t>
  </si>
  <si>
    <t>If request is related to ABDO/ABRO change, then form must be submitted via de ABDO ISE environment.</t>
  </si>
  <si>
    <t>PENTEST request: Submit end date, firewall rule is Non-Persistent and 2nd change is needed to remove the pentest rules!</t>
  </si>
  <si>
    <t>Is this rule for ever of short lived (min 1 year). Check notes below on PENTEST!</t>
  </si>
  <si>
    <t>This is NOT the Schiphol application with CI number!</t>
  </si>
  <si>
    <t>New ABDO (EESK/SSPC) workprocess, New demarcation, Enhanced the explanation sheet.</t>
  </si>
  <si>
    <t>1.6.1 (Check Version History tab)</t>
  </si>
  <si>
    <t>VPN Global Protect Source IP-addresses. VPN-SW. 10.51.176.0/20</t>
  </si>
  <si>
    <t>VPN Global Protect VPN client CI number: 889449</t>
  </si>
  <si>
    <t>ET</t>
  </si>
  <si>
    <t>Eric Lansbergen</t>
  </si>
  <si>
    <t>eric.lansbergen@schiphol.nl</t>
  </si>
  <si>
    <t>Garbis van Okburcht</t>
  </si>
  <si>
    <t>okburcht@schiphol.nl</t>
  </si>
  <si>
    <t>https://schiphol.atlassian.net/wiki/spaces/ASB/pages/1739620786/Firewall+and+loadbalancing+requests+overview nummer 70</t>
  </si>
  <si>
    <t>Between Mon–Thu and not in freeze period</t>
  </si>
  <si>
    <t>145.35.90.80</t>
  </si>
  <si>
    <t>ms40023.intra.schiphol.nl</t>
  </si>
  <si>
    <t>10.205.37.0/26</t>
  </si>
  <si>
    <t>snbvaz047a</t>
  </si>
  <si>
    <t>10.229.19.0/24</t>
  </si>
  <si>
    <t>epg_openshift_ota_worker</t>
  </si>
  <si>
    <t>10.229.156.0/24</t>
  </si>
  <si>
    <t>epg_openshift_worker_ota</t>
  </si>
  <si>
    <t>CEP ASB AMQP Broker access - acc azure</t>
  </si>
  <si>
    <t>Het gaat hier om een aanvraag vanuit CEP om bij onze AMQ server te komen maar dan niet via openwire, maar via AMQPs
Servicedesign is terug te vinden op https://schiphol.atlassian.net/wiki/spaces/ASB/pages/1739620786/Firewall+and+loadbalancing+requests+overview en dan nummer 77
Het gaat hier dan ook om toegang tot een bestaande poort op onze AMQ broker via de ADC</t>
  </si>
  <si>
    <t>CEP ASB AMQP Broker access - acc openshift-ota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</si>
</sst>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00000000"/>
  </numFmts>
  <fonts count="51" x14ac:knownFonts="1">
    <font>
      <sz val="11"/>
      <color theme="1"/>
      <name val="Calibri"/>
      <family val="2"/>
      <scheme val="minor"/>
    </font>
    <font>
      <u/>
      <sz val="11"/>
      <color theme="10"/>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11"/>
      <color rgb="FF000000"/>
      <name val="Calibri"/>
      <family val="2"/>
    </font>
    <font>
      <sz val="11"/>
      <color theme="1"/>
      <name val="Schiphol Frutiger"/>
      <family val="2"/>
    </font>
    <font>
      <u/>
      <sz val="11"/>
      <color theme="10"/>
      <name val="Schiphol Frutiger"/>
      <family val="2"/>
    </font>
    <font>
      <sz val="11"/>
      <color theme="0"/>
      <name val="Schiphol Frutiger"/>
      <family val="2"/>
    </font>
    <font>
      <i/>
      <sz val="11"/>
      <color theme="1"/>
      <name val="Calibri"/>
      <family val="2"/>
      <scheme val="minor"/>
    </font>
    <font>
      <sz val="10.5"/>
      <color rgb="FF141251"/>
      <name val="Calibri"/>
      <family val="2"/>
      <scheme val="minor"/>
    </font>
    <font>
      <sz val="8"/>
      <name val="Calibri"/>
      <family val="2"/>
      <scheme val="minor"/>
    </font>
    <font>
      <sz val="11"/>
      <color theme="1"/>
      <name val="Frutiger for Schiphol Book"/>
      <family val="2"/>
    </font>
    <font>
      <sz val="9"/>
      <color indexed="81"/>
      <name val="Tahoma"/>
      <family val="2"/>
    </font>
    <font>
      <b/>
      <sz val="9"/>
      <color indexed="81"/>
      <name val="Tahoma"/>
      <family val="2"/>
    </font>
    <font>
      <sz val="10.5"/>
      <color theme="1"/>
      <name val="Calibri"/>
      <family val="2"/>
      <scheme val="minor"/>
    </font>
    <font>
      <sz val="10"/>
      <color theme="0"/>
      <name val="RSG Variable B04"/>
      <family val="2"/>
    </font>
    <font>
      <b/>
      <sz val="10"/>
      <color theme="1"/>
      <name val="RSG Variable B04"/>
      <family val="2"/>
    </font>
    <font>
      <sz val="11"/>
      <color theme="1"/>
      <name val="RSG Variable B04"/>
      <family val="2"/>
    </font>
    <font>
      <u/>
      <sz val="11"/>
      <color theme="10"/>
      <name val="RSG Variable B04"/>
      <family val="2"/>
    </font>
    <font>
      <sz val="10"/>
      <color theme="1"/>
      <name val="RSG Variable B04"/>
      <family val="2"/>
    </font>
    <font>
      <b/>
      <sz val="10"/>
      <color theme="0"/>
      <name val="RSG Variable B04"/>
      <family val="2"/>
    </font>
    <font>
      <sz val="9"/>
      <color theme="1"/>
      <name val="RSG Variable B04"/>
      <family val="2"/>
    </font>
    <font>
      <i/>
      <sz val="9"/>
      <color theme="1"/>
      <name val="RSG Variable B04"/>
      <family val="2"/>
    </font>
    <font>
      <b/>
      <sz val="11"/>
      <color theme="1"/>
      <name val="RSG Variable B04"/>
      <family val="2"/>
    </font>
    <font>
      <b/>
      <sz val="22"/>
      <color theme="0"/>
      <name val="RSG Variable B04"/>
      <family val="2"/>
    </font>
    <font>
      <sz val="11"/>
      <color theme="0"/>
      <name val="RSG Variable B04"/>
      <family val="2"/>
    </font>
    <font>
      <b/>
      <sz val="11"/>
      <color theme="0"/>
      <name val="RSG Variable B04"/>
      <family val="2"/>
    </font>
    <font>
      <b/>
      <sz val="12"/>
      <color theme="1"/>
      <name val="RSG Variable B04"/>
      <family val="2"/>
    </font>
    <font>
      <b/>
      <strike/>
      <sz val="10"/>
      <color theme="1"/>
      <name val="RSG Variable B04"/>
      <family val="2"/>
    </font>
    <font>
      <u/>
      <sz val="10"/>
      <color theme="10"/>
      <name val="RSG Variable B04"/>
      <family val="2"/>
    </font>
    <font>
      <b/>
      <sz val="10"/>
      <color rgb="FFFF0000"/>
      <name val="RSG Variable B04"/>
      <family val="2"/>
    </font>
    <font>
      <sz val="10"/>
      <color rgb="FFFF0000"/>
      <name val="RSG Variable B04"/>
      <family val="2"/>
    </font>
    <font>
      <b/>
      <sz val="8"/>
      <color theme="1"/>
      <name val="RSG Variable B04"/>
      <family val="2"/>
    </font>
    <font>
      <b/>
      <sz val="16"/>
      <color theme="0"/>
      <name val="RSG Variable B04"/>
      <family val="2"/>
    </font>
    <font>
      <b/>
      <i/>
      <sz val="8"/>
      <color rgb="FFFF7700"/>
      <name val="RSG Variable B04"/>
      <family val="2"/>
    </font>
    <font>
      <sz val="11"/>
      <color rgb="FFFF7700"/>
      <name val="RSG Variable B04"/>
      <family val="2"/>
    </font>
    <font>
      <b/>
      <sz val="12"/>
      <name val="RSG Variable B04"/>
      <family val="2"/>
    </font>
    <font>
      <i/>
      <sz val="8"/>
      <color theme="0"/>
      <name val="RSG Variable B04"/>
      <family val="2"/>
    </font>
    <font>
      <i/>
      <sz val="8"/>
      <color theme="1"/>
      <name val="RSG Variable B04"/>
      <family val="2"/>
    </font>
    <font>
      <i/>
      <sz val="10"/>
      <color theme="1"/>
      <name val="RSG Variable B04"/>
      <family val="2"/>
    </font>
    <font>
      <b/>
      <sz val="12"/>
      <color theme="0"/>
      <name val="RSG Variable B04"/>
      <family val="2"/>
    </font>
    <font>
      <sz val="12"/>
      <color theme="1"/>
      <name val="RSG Variable B04"/>
      <family val="2"/>
    </font>
    <font>
      <b/>
      <sz val="24"/>
      <color theme="5"/>
      <name val="RSG Variable B04"/>
      <family val="2"/>
    </font>
    <font>
      <i/>
      <sz val="11"/>
      <color theme="5"/>
      <name val="RSG Variable B04"/>
      <family val="2"/>
    </font>
    <font>
      <b/>
      <sz val="11"/>
      <color theme="5"/>
      <name val="RSG Variable B04"/>
      <family val="2"/>
    </font>
    <font>
      <b/>
      <i/>
      <sz val="9"/>
      <color rgb="FFFF7700"/>
      <name val="RSG Variable B04"/>
      <family val="2"/>
    </font>
    <font>
      <b/>
      <sz val="10"/>
      <color theme="5"/>
      <name val="RSG Variable B04"/>
      <family val="2"/>
    </font>
    <font>
      <sz val="10"/>
      <name val="RSG Variable B04"/>
      <family val="2"/>
    </font>
    <font>
      <sz val="9"/>
      <color indexed="81"/>
      <name val="Tahoma"/>
      <charset val="1"/>
    </font>
    <font>
      <sz val="12"/>
      <color rgb="FF292A2E"/>
      <name val="Segoe UI"/>
      <family val="2"/>
    </font>
  </fonts>
  <fills count="8">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rgb="FFC8E2F0"/>
        <bgColor indexed="64"/>
      </patternFill>
    </fill>
    <fill>
      <patternFill patternType="solid">
        <fgColor rgb="FF2E3F42"/>
        <bgColor indexed="64"/>
      </patternFill>
    </fill>
    <fill>
      <patternFill patternType="solid">
        <fgColor rgb="FFFF7700"/>
        <bgColor indexed="64"/>
      </patternFill>
    </fill>
    <fill>
      <patternFill patternType="gray125">
        <bgColor rgb="FFC8E2F0"/>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style="thin">
        <color theme="1"/>
      </bottom>
      <diagonal/>
    </border>
    <border>
      <left/>
      <right/>
      <top style="medium">
        <color rgb="FFFF0000"/>
      </top>
      <bottom style="thin">
        <color rgb="FFFF0000"/>
      </bottom>
      <diagonal/>
    </border>
    <border>
      <left style="thin">
        <color theme="1"/>
      </left>
      <right style="thin">
        <color rgb="FFFF0000"/>
      </right>
      <top style="thin">
        <color theme="1"/>
      </top>
      <bottom style="thin">
        <color theme="1"/>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thin">
        <color theme="1"/>
      </right>
      <top/>
      <bottom style="thin">
        <color theme="1"/>
      </bottom>
      <diagonal/>
    </border>
    <border>
      <left/>
      <right/>
      <top style="thin">
        <color theme="1"/>
      </top>
      <bottom style="thin">
        <color theme="1"/>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rgb="FFFF0000"/>
      </left>
      <right style="medium">
        <color indexed="64"/>
      </right>
      <top style="thin">
        <color rgb="FFFF0000"/>
      </top>
      <bottom style="thin">
        <color rgb="FFFF0000"/>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theme="1"/>
      </left>
      <right style="thin">
        <color theme="1"/>
      </right>
      <top/>
      <bottom style="thin">
        <color theme="1"/>
      </bottom>
      <diagonal/>
    </border>
    <border>
      <left style="thin">
        <color rgb="FFFF0000"/>
      </left>
      <right/>
      <top style="thin">
        <color rgb="FFFF0000"/>
      </top>
      <bottom style="thin">
        <color rgb="FFFF0000"/>
      </bottom>
      <diagonal/>
    </border>
    <border>
      <left style="thin">
        <color indexed="64"/>
      </left>
      <right style="thin">
        <color indexed="64"/>
      </right>
      <top style="thin">
        <color rgb="FFFF0000"/>
      </top>
      <bottom style="thin">
        <color indexed="64"/>
      </bottom>
      <diagonal/>
    </border>
    <border>
      <left style="thick">
        <color rgb="FF2E3F42"/>
      </left>
      <right style="thick">
        <color rgb="FF2E3F42"/>
      </right>
      <top style="thick">
        <color rgb="FF2E3F42"/>
      </top>
      <bottom style="thick">
        <color rgb="FF2E3F42"/>
      </bottom>
      <diagonal/>
    </border>
    <border>
      <left style="thick">
        <color rgb="FFFF7700"/>
      </left>
      <right style="thick">
        <color rgb="FF2E3F42"/>
      </right>
      <top style="thick">
        <color rgb="FF2E3F42"/>
      </top>
      <bottom style="thick">
        <color rgb="FF2E3F42"/>
      </bottom>
      <diagonal/>
    </border>
    <border>
      <left style="thick">
        <color rgb="FFFF7700"/>
      </left>
      <right/>
      <top style="thick">
        <color rgb="FF2E3F42"/>
      </top>
      <bottom style="thick">
        <color rgb="FF2E3F42"/>
      </bottom>
      <diagonal/>
    </border>
    <border>
      <left style="thick">
        <color rgb="FFFF7700"/>
      </left>
      <right style="thin">
        <color theme="1"/>
      </right>
      <top style="thin">
        <color theme="1"/>
      </top>
      <bottom style="thick">
        <color rgb="FF2E3F42"/>
      </bottom>
      <diagonal/>
    </border>
    <border>
      <left style="thin">
        <color theme="1"/>
      </left>
      <right style="thin">
        <color theme="1"/>
      </right>
      <top style="thin">
        <color theme="1"/>
      </top>
      <bottom style="thick">
        <color rgb="FF2E3F42"/>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style="thin">
        <color rgb="FFFF0000"/>
      </left>
      <right style="thin">
        <color rgb="FFFF0000"/>
      </right>
      <top/>
      <bottom style="thin">
        <color rgb="FFFF0000"/>
      </bottom>
      <diagonal/>
    </border>
    <border>
      <left style="thin">
        <color indexed="64"/>
      </left>
      <right style="thin">
        <color indexed="64"/>
      </right>
      <top style="medium">
        <color indexed="64"/>
      </top>
      <bottom style="thin">
        <color rgb="FFFF0000"/>
      </bottom>
      <diagonal/>
    </border>
    <border>
      <left/>
      <right style="thin">
        <color rgb="FFFF0000"/>
      </right>
      <top style="thin">
        <color rgb="FFFF0000"/>
      </top>
      <bottom style="thin">
        <color rgb="FFFF0000"/>
      </bottom>
      <diagonal/>
    </border>
    <border>
      <left/>
      <right style="thin">
        <color indexed="64"/>
      </right>
      <top/>
      <bottom/>
      <diagonal/>
    </border>
    <border>
      <left style="medium">
        <color indexed="64"/>
      </left>
      <right style="thin">
        <color indexed="64"/>
      </right>
      <top/>
      <bottom/>
      <diagonal/>
    </border>
    <border>
      <left style="thin">
        <color rgb="FFFF0000"/>
      </left>
      <right/>
      <top/>
      <bottom style="thin">
        <color rgb="FFFF0000"/>
      </bottom>
      <diagonal/>
    </border>
    <border>
      <left style="thin">
        <color rgb="FFFF0000"/>
      </left>
      <right style="medium">
        <color indexed="64"/>
      </right>
      <top/>
      <bottom style="thin">
        <color rgb="FFFF0000"/>
      </bottom>
      <diagonal/>
    </border>
  </borders>
  <cellStyleXfs count="2">
    <xf numFmtId="0" fontId="0" fillId="0" borderId="0"/>
    <xf numFmtId="0" fontId="1" fillId="0" borderId="0" applyNumberFormat="0" applyFill="0" applyBorder="0" applyAlignment="0" applyProtection="0"/>
  </cellStyleXfs>
  <cellXfs count="217">
    <xf numFmtId="0" fontId="0" fillId="0" borderId="0" xfId="0"/>
    <xf numFmtId="0" fontId="0" fillId="2" borderId="0" xfId="0" applyFill="1"/>
    <xf numFmtId="0" fontId="0" fillId="2" borderId="8" xfId="0" applyFill="1" applyBorder="1"/>
    <xf numFmtId="0" fontId="2" fillId="2" borderId="0" xfId="0" applyFont="1" applyFill="1"/>
    <xf numFmtId="0" fontId="3" fillId="2" borderId="8" xfId="0" applyFont="1" applyFill="1" applyBorder="1"/>
    <xf numFmtId="0" fontId="3" fillId="0" borderId="0" xfId="0" applyFont="1"/>
    <xf numFmtId="0" fontId="5" fillId="0" borderId="0" xfId="0" applyFont="1" applyAlignment="1">
      <alignment vertical="center"/>
    </xf>
    <xf numFmtId="0" fontId="4" fillId="0" borderId="0" xfId="0" applyFont="1"/>
    <xf numFmtId="0" fontId="10" fillId="0" borderId="0" xfId="0" applyFont="1" applyAlignment="1">
      <alignment horizontal="left" vertical="center" readingOrder="1"/>
    </xf>
    <xf numFmtId="0" fontId="15" fillId="0" borderId="0" xfId="0" applyFont="1"/>
    <xf numFmtId="0" fontId="0" fillId="3" borderId="0" xfId="0" applyFill="1"/>
    <xf numFmtId="0" fontId="18" fillId="2" borderId="0" xfId="0" applyFont="1" applyFill="1"/>
    <xf numFmtId="0" fontId="18" fillId="0" borderId="0" xfId="0" applyFont="1"/>
    <xf numFmtId="0" fontId="18" fillId="2" borderId="0" xfId="0" applyFont="1" applyFill="1" applyAlignment="1">
      <alignment horizontal="center"/>
    </xf>
    <xf numFmtId="0" fontId="0" fillId="4" borderId="0" xfId="0" applyFill="1"/>
    <xf numFmtId="0" fontId="0" fillId="4" borderId="8" xfId="0" applyFill="1" applyBorder="1"/>
    <xf numFmtId="0" fontId="12" fillId="4" borderId="0" xfId="0" applyFont="1" applyFill="1"/>
    <xf numFmtId="0" fontId="17" fillId="4" borderId="0" xfId="0" applyFont="1" applyFill="1"/>
    <xf numFmtId="0" fontId="18" fillId="4" borderId="0" xfId="0" applyFont="1" applyFill="1"/>
    <xf numFmtId="0" fontId="19" fillId="4" borderId="0" xfId="1" applyFont="1" applyFill="1" applyAlignment="1">
      <alignment horizontal="center"/>
    </xf>
    <xf numFmtId="0" fontId="9" fillId="4" borderId="0" xfId="0" applyFont="1" applyFill="1"/>
    <xf numFmtId="0" fontId="2" fillId="4" borderId="0" xfId="0" applyFont="1" applyFill="1"/>
    <xf numFmtId="0" fontId="20" fillId="4" borderId="0" xfId="0" applyFont="1" applyFill="1"/>
    <xf numFmtId="0" fontId="22" fillId="4" borderId="0" xfId="0" applyFont="1" applyFill="1"/>
    <xf numFmtId="0" fontId="8" fillId="4" borderId="0" xfId="0" applyFont="1" applyFill="1"/>
    <xf numFmtId="0" fontId="6" fillId="4" borderId="0" xfId="0" applyFont="1" applyFill="1"/>
    <xf numFmtId="0" fontId="1" fillId="4" borderId="0" xfId="1" applyFill="1"/>
    <xf numFmtId="0" fontId="7" fillId="4" borderId="0" xfId="1" applyFont="1" applyFill="1" applyBorder="1"/>
    <xf numFmtId="0" fontId="1" fillId="4" borderId="0" xfId="1" applyFill="1" applyBorder="1"/>
    <xf numFmtId="0" fontId="0" fillId="4" borderId="9" xfId="0" applyFill="1" applyBorder="1"/>
    <xf numFmtId="0" fontId="33" fillId="4" borderId="0" xfId="0" applyFont="1" applyFill="1"/>
    <xf numFmtId="0" fontId="25" fillId="4" borderId="0" xfId="0" applyFont="1" applyFill="1"/>
    <xf numFmtId="0" fontId="26" fillId="4" borderId="0" xfId="0" applyFont="1" applyFill="1"/>
    <xf numFmtId="0" fontId="24" fillId="4" borderId="0" xfId="0" applyFont="1" applyFill="1"/>
    <xf numFmtId="0" fontId="21" fillId="4" borderId="26" xfId="0" applyFont="1" applyFill="1" applyBorder="1" applyAlignment="1">
      <alignment horizontal="center"/>
    </xf>
    <xf numFmtId="0" fontId="21" fillId="4" borderId="27" xfId="0" applyFont="1" applyFill="1" applyBorder="1" applyAlignment="1">
      <alignment horizontal="center"/>
    </xf>
    <xf numFmtId="0" fontId="20" fillId="4" borderId="2" xfId="0" applyFont="1" applyFill="1" applyBorder="1" applyProtection="1">
      <protection locked="0"/>
    </xf>
    <xf numFmtId="0" fontId="20" fillId="4" borderId="2" xfId="0" applyFont="1" applyFill="1" applyBorder="1" applyAlignment="1" applyProtection="1">
      <alignment wrapText="1"/>
      <protection locked="0"/>
    </xf>
    <xf numFmtId="49" fontId="20" fillId="4" borderId="50" xfId="0" applyNumberFormat="1" applyFont="1" applyFill="1" applyBorder="1" applyAlignment="1" applyProtection="1">
      <alignment horizontal="center"/>
      <protection locked="0"/>
    </xf>
    <xf numFmtId="0" fontId="20" fillId="4" borderId="50" xfId="0" applyFont="1" applyFill="1" applyBorder="1" applyProtection="1">
      <protection locked="0"/>
    </xf>
    <xf numFmtId="0" fontId="20" fillId="4" borderId="32" xfId="0" applyFont="1" applyFill="1" applyBorder="1" applyProtection="1">
      <protection locked="0"/>
    </xf>
    <xf numFmtId="0" fontId="20" fillId="4" borderId="40" xfId="0" applyFont="1" applyFill="1" applyBorder="1" applyProtection="1">
      <protection locked="0"/>
    </xf>
    <xf numFmtId="0" fontId="20" fillId="4" borderId="36" xfId="0" applyFont="1" applyFill="1" applyBorder="1"/>
    <xf numFmtId="0" fontId="20" fillId="4" borderId="32" xfId="0" applyFont="1" applyFill="1" applyBorder="1"/>
    <xf numFmtId="0" fontId="20" fillId="4" borderId="1" xfId="0" applyFont="1" applyFill="1" applyBorder="1"/>
    <xf numFmtId="0" fontId="20" fillId="4" borderId="14" xfId="0" applyFont="1" applyFill="1" applyBorder="1" applyAlignment="1">
      <alignment horizontal="left"/>
    </xf>
    <xf numFmtId="0" fontId="20" fillId="4" borderId="1" xfId="0" applyFont="1" applyFill="1" applyBorder="1" applyProtection="1">
      <protection locked="0"/>
    </xf>
    <xf numFmtId="0" fontId="20" fillId="4" borderId="1" xfId="0" applyFont="1" applyFill="1" applyBorder="1" applyAlignment="1" applyProtection="1">
      <alignment wrapText="1"/>
      <protection locked="0"/>
    </xf>
    <xf numFmtId="49" fontId="20" fillId="4" borderId="2" xfId="0" applyNumberFormat="1" applyFont="1" applyFill="1" applyBorder="1" applyAlignment="1" applyProtection="1">
      <alignment horizontal="center"/>
      <protection locked="0"/>
    </xf>
    <xf numFmtId="49" fontId="20" fillId="4" borderId="1" xfId="0" applyNumberFormat="1" applyFont="1" applyFill="1" applyBorder="1" applyAlignment="1" applyProtection="1">
      <alignment horizontal="center"/>
      <protection locked="0"/>
    </xf>
    <xf numFmtId="0" fontId="20" fillId="4" borderId="24" xfId="0" applyFont="1" applyFill="1" applyBorder="1"/>
    <xf numFmtId="0" fontId="20" fillId="4" borderId="28" xfId="0" applyFont="1" applyFill="1" applyBorder="1" applyProtection="1">
      <protection locked="0"/>
    </xf>
    <xf numFmtId="0" fontId="20" fillId="4" borderId="41" xfId="0" applyFont="1" applyFill="1" applyBorder="1" applyAlignment="1">
      <alignment horizontal="left"/>
    </xf>
    <xf numFmtId="0" fontId="20" fillId="4" borderId="42" xfId="0" applyFont="1" applyFill="1" applyBorder="1" applyProtection="1">
      <protection locked="0"/>
    </xf>
    <xf numFmtId="0" fontId="20" fillId="4" borderId="42" xfId="0" applyFont="1" applyFill="1" applyBorder="1" applyAlignment="1" applyProtection="1">
      <alignment wrapText="1"/>
      <protection locked="0"/>
    </xf>
    <xf numFmtId="49" fontId="20" fillId="4" borderId="42" xfId="0" applyNumberFormat="1" applyFont="1" applyFill="1" applyBorder="1" applyAlignment="1" applyProtection="1">
      <alignment horizontal="center"/>
      <protection locked="0"/>
    </xf>
    <xf numFmtId="0" fontId="20" fillId="4" borderId="43" xfId="0" applyFont="1" applyFill="1" applyBorder="1" applyProtection="1">
      <protection locked="0"/>
    </xf>
    <xf numFmtId="0" fontId="20" fillId="4" borderId="44" xfId="0" applyFont="1" applyFill="1" applyBorder="1" applyProtection="1">
      <protection locked="0"/>
    </xf>
    <xf numFmtId="0" fontId="18" fillId="4" borderId="12" xfId="0" applyFont="1" applyFill="1" applyBorder="1"/>
    <xf numFmtId="0" fontId="27" fillId="4" borderId="8" xfId="0" applyFont="1" applyFill="1" applyBorder="1"/>
    <xf numFmtId="0" fontId="18" fillId="4" borderId="8" xfId="0" applyFont="1" applyFill="1" applyBorder="1"/>
    <xf numFmtId="0" fontId="20" fillId="4" borderId="0" xfId="0" applyFont="1" applyFill="1" applyAlignment="1" applyProtection="1">
      <alignment horizontal="left" vertical="top"/>
      <protection locked="0"/>
    </xf>
    <xf numFmtId="0" fontId="20" fillId="4" borderId="10" xfId="0" applyFont="1" applyFill="1" applyBorder="1" applyAlignment="1" applyProtection="1">
      <alignment horizontal="left" vertical="top"/>
      <protection locked="0"/>
    </xf>
    <xf numFmtId="0" fontId="28" fillId="4" borderId="0" xfId="0" applyFont="1" applyFill="1"/>
    <xf numFmtId="0" fontId="20" fillId="4" borderId="9" xfId="0" applyFont="1" applyFill="1" applyBorder="1" applyAlignment="1" applyProtection="1">
      <alignment horizontal="left" vertical="top"/>
      <protection locked="0"/>
    </xf>
    <xf numFmtId="0" fontId="20" fillId="4" borderId="11" xfId="0" applyFont="1" applyFill="1" applyBorder="1" applyAlignment="1" applyProtection="1">
      <alignment horizontal="left" vertical="top"/>
      <protection locked="0"/>
    </xf>
    <xf numFmtId="0" fontId="20" fillId="4" borderId="12" xfId="0" applyFont="1" applyFill="1" applyBorder="1" applyAlignment="1" applyProtection="1">
      <alignment horizontal="left" vertical="top"/>
      <protection locked="0"/>
    </xf>
    <xf numFmtId="0" fontId="20" fillId="4" borderId="13" xfId="0" applyFont="1" applyFill="1" applyBorder="1" applyAlignment="1" applyProtection="1">
      <alignment horizontal="left" vertical="top"/>
      <protection locked="0"/>
    </xf>
    <xf numFmtId="0" fontId="21" fillId="5" borderId="4" xfId="0" applyFont="1" applyFill="1" applyBorder="1"/>
    <xf numFmtId="0" fontId="21" fillId="5" borderId="5" xfId="0" applyFont="1" applyFill="1" applyBorder="1" applyAlignment="1">
      <alignment horizontal="center"/>
    </xf>
    <xf numFmtId="0" fontId="21" fillId="5" borderId="6" xfId="0" applyFont="1" applyFill="1" applyBorder="1" applyAlignment="1">
      <alignment horizontal="center"/>
    </xf>
    <xf numFmtId="0" fontId="21" fillId="5" borderId="26" xfId="0" applyFont="1" applyFill="1" applyBorder="1" applyAlignment="1">
      <alignment horizontal="center"/>
    </xf>
    <xf numFmtId="0" fontId="21" fillId="5" borderId="37" xfId="0" applyFont="1" applyFill="1" applyBorder="1" applyAlignment="1">
      <alignment horizontal="center"/>
    </xf>
    <xf numFmtId="0" fontId="21" fillId="5" borderId="27" xfId="0" applyFont="1" applyFill="1" applyBorder="1" applyAlignment="1">
      <alignment horizontal="center"/>
    </xf>
    <xf numFmtId="0" fontId="21" fillId="5" borderId="46" xfId="0" applyFont="1" applyFill="1" applyBorder="1" applyAlignment="1">
      <alignment horizontal="center"/>
    </xf>
    <xf numFmtId="0" fontId="21" fillId="5" borderId="47" xfId="0" applyFont="1" applyFill="1" applyBorder="1" applyAlignment="1">
      <alignment horizontal="center"/>
    </xf>
    <xf numFmtId="0" fontId="21" fillId="5" borderId="48" xfId="0" applyFont="1" applyFill="1" applyBorder="1" applyAlignment="1">
      <alignment horizontal="center"/>
    </xf>
    <xf numFmtId="0" fontId="21" fillId="5" borderId="38" xfId="0" applyFont="1" applyFill="1" applyBorder="1"/>
    <xf numFmtId="0" fontId="20" fillId="4" borderId="1" xfId="0" applyFont="1" applyFill="1" applyBorder="1" applyAlignment="1">
      <alignment horizontal="left"/>
    </xf>
    <xf numFmtId="0" fontId="20" fillId="6" borderId="33" xfId="0" applyFont="1" applyFill="1" applyBorder="1"/>
    <xf numFmtId="0" fontId="20" fillId="6" borderId="31" xfId="0" applyFont="1" applyFill="1" applyBorder="1"/>
    <xf numFmtId="0" fontId="21" fillId="5" borderId="6" xfId="0" applyFont="1" applyFill="1" applyBorder="1"/>
    <xf numFmtId="0" fontId="21" fillId="5" borderId="26" xfId="0" applyFont="1" applyFill="1" applyBorder="1"/>
    <xf numFmtId="0" fontId="18" fillId="4" borderId="0" xfId="0" applyFont="1" applyFill="1" applyAlignment="1">
      <alignment horizontal="center"/>
    </xf>
    <xf numFmtId="0" fontId="17" fillId="4" borderId="19" xfId="0" applyFont="1" applyFill="1" applyBorder="1"/>
    <xf numFmtId="0" fontId="20" fillId="4" borderId="20" xfId="0" applyFont="1" applyFill="1" applyBorder="1" applyAlignment="1">
      <alignment horizontal="center"/>
    </xf>
    <xf numFmtId="0" fontId="23" fillId="4" borderId="0" xfId="0" applyFont="1" applyFill="1"/>
    <xf numFmtId="0" fontId="29" fillId="4" borderId="0" xfId="0" applyFont="1" applyFill="1"/>
    <xf numFmtId="0" fontId="30" fillId="4" borderId="20" xfId="1" applyFont="1" applyFill="1" applyBorder="1" applyAlignment="1">
      <alignment horizontal="center"/>
    </xf>
    <xf numFmtId="0" fontId="17" fillId="4" borderId="21" xfId="0" applyFont="1" applyFill="1" applyBorder="1"/>
    <xf numFmtId="0" fontId="17" fillId="4" borderId="22" xfId="0" applyFont="1" applyFill="1" applyBorder="1"/>
    <xf numFmtId="0" fontId="20" fillId="4" borderId="22" xfId="0" applyFont="1" applyFill="1" applyBorder="1"/>
    <xf numFmtId="0" fontId="20" fillId="4" borderId="23" xfId="0" applyFont="1" applyFill="1" applyBorder="1" applyAlignment="1">
      <alignment horizontal="center"/>
    </xf>
    <xf numFmtId="0" fontId="20" fillId="4" borderId="0" xfId="0" applyFont="1" applyFill="1" applyAlignment="1">
      <alignment horizontal="center"/>
    </xf>
    <xf numFmtId="0" fontId="31" fillId="4" borderId="0" xfId="0" applyFont="1" applyFill="1"/>
    <xf numFmtId="0" fontId="32" fillId="4" borderId="0" xfId="0" applyFont="1" applyFill="1"/>
    <xf numFmtId="0" fontId="21" fillId="5" borderId="16" xfId="0" applyFont="1" applyFill="1" applyBorder="1"/>
    <xf numFmtId="0" fontId="21" fillId="5" borderId="17" xfId="0" applyFont="1" applyFill="1" applyBorder="1"/>
    <xf numFmtId="0" fontId="21" fillId="5" borderId="18" xfId="0" applyFont="1" applyFill="1" applyBorder="1" applyAlignment="1">
      <alignment horizontal="center"/>
    </xf>
    <xf numFmtId="0" fontId="21" fillId="5" borderId="0" xfId="0" applyFont="1" applyFill="1"/>
    <xf numFmtId="0" fontId="16" fillId="5" borderId="0" xfId="0" applyFont="1" applyFill="1"/>
    <xf numFmtId="0" fontId="0" fillId="5" borderId="0" xfId="0" applyFill="1"/>
    <xf numFmtId="0" fontId="34" fillId="5" borderId="0" xfId="0" applyFont="1" applyFill="1"/>
    <xf numFmtId="0" fontId="18" fillId="5" borderId="0" xfId="0" applyFont="1" applyFill="1"/>
    <xf numFmtId="0" fontId="28" fillId="4" borderId="0" xfId="0" applyFont="1" applyFill="1" applyAlignment="1">
      <alignment horizontal="center"/>
    </xf>
    <xf numFmtId="14" fontId="18" fillId="4" borderId="0" xfId="0" applyNumberFormat="1" applyFont="1" applyFill="1" applyAlignment="1">
      <alignment horizontal="center"/>
    </xf>
    <xf numFmtId="0" fontId="27" fillId="5" borderId="7" xfId="0" applyFont="1" applyFill="1" applyBorder="1"/>
    <xf numFmtId="0" fontId="27" fillId="5" borderId="8" xfId="0" applyFont="1" applyFill="1" applyBorder="1"/>
    <xf numFmtId="0" fontId="35" fillId="4" borderId="0" xfId="0" applyFont="1" applyFill="1"/>
    <xf numFmtId="0" fontId="36" fillId="4" borderId="0" xfId="0" applyFont="1" applyFill="1"/>
    <xf numFmtId="0" fontId="20" fillId="4" borderId="51" xfId="0" applyFont="1" applyFill="1" applyBorder="1" applyAlignment="1" applyProtection="1">
      <alignment horizontal="left"/>
      <protection locked="0"/>
    </xf>
    <xf numFmtId="0" fontId="16" fillId="5" borderId="52" xfId="0" applyFont="1" applyFill="1" applyBorder="1"/>
    <xf numFmtId="0" fontId="21" fillId="4" borderId="0" xfId="0" applyFont="1" applyFill="1"/>
    <xf numFmtId="14" fontId="20" fillId="4" borderId="0" xfId="0" applyNumberFormat="1" applyFont="1" applyFill="1" applyProtection="1">
      <protection locked="0"/>
    </xf>
    <xf numFmtId="0" fontId="16" fillId="4" borderId="0" xfId="0" applyFont="1" applyFill="1"/>
    <xf numFmtId="164" fontId="20" fillId="4" borderId="51" xfId="0" applyNumberFormat="1" applyFont="1" applyFill="1" applyBorder="1" applyProtection="1">
      <protection locked="0"/>
    </xf>
    <xf numFmtId="0" fontId="20" fillId="4" borderId="51" xfId="0" applyFont="1" applyFill="1" applyBorder="1" applyProtection="1">
      <protection locked="0"/>
    </xf>
    <xf numFmtId="14" fontId="20" fillId="4" borderId="51" xfId="0" applyNumberFormat="1" applyFont="1" applyFill="1" applyBorder="1" applyProtection="1">
      <protection locked="0"/>
    </xf>
    <xf numFmtId="0" fontId="37" fillId="4" borderId="0" xfId="0" applyFont="1" applyFill="1"/>
    <xf numFmtId="0" fontId="16" fillId="5" borderId="53" xfId="0" applyFont="1" applyFill="1" applyBorder="1"/>
    <xf numFmtId="0" fontId="38" fillId="5" borderId="52" xfId="0" applyFont="1" applyFill="1" applyBorder="1" applyAlignment="1">
      <alignment vertical="center"/>
    </xf>
    <xf numFmtId="0" fontId="39" fillId="4" borderId="51" xfId="0" applyFont="1" applyFill="1" applyBorder="1" applyAlignment="1">
      <alignment vertical="center"/>
    </xf>
    <xf numFmtId="14" fontId="39" fillId="4" borderId="51" xfId="0" applyNumberFormat="1" applyFont="1" applyFill="1" applyBorder="1" applyAlignment="1">
      <alignment horizontal="left" vertical="center"/>
    </xf>
    <xf numFmtId="0" fontId="27" fillId="5" borderId="51" xfId="0" applyFont="1" applyFill="1" applyBorder="1"/>
    <xf numFmtId="0" fontId="40" fillId="4" borderId="2" xfId="0" applyFont="1" applyFill="1" applyBorder="1" applyAlignment="1" applyProtection="1">
      <alignment horizontal="center"/>
      <protection locked="0"/>
    </xf>
    <xf numFmtId="14" fontId="18" fillId="4" borderId="0" xfId="0" applyNumberFormat="1" applyFont="1" applyFill="1"/>
    <xf numFmtId="0" fontId="18" fillId="4" borderId="9" xfId="0" applyFont="1" applyFill="1" applyBorder="1"/>
    <xf numFmtId="0" fontId="40" fillId="4" borderId="45" xfId="0" applyFont="1" applyFill="1" applyBorder="1"/>
    <xf numFmtId="0" fontId="40" fillId="4" borderId="56" xfId="0" applyFont="1" applyFill="1" applyBorder="1"/>
    <xf numFmtId="0" fontId="21" fillId="5" borderId="7" xfId="0" applyFont="1" applyFill="1" applyBorder="1" applyAlignment="1">
      <alignment horizontal="center"/>
    </xf>
    <xf numFmtId="0" fontId="21" fillId="5" borderId="57" xfId="0" applyFont="1" applyFill="1" applyBorder="1" applyAlignment="1">
      <alignment horizontal="center"/>
    </xf>
    <xf numFmtId="0" fontId="40" fillId="4" borderId="1" xfId="0" applyFont="1" applyFill="1" applyBorder="1"/>
    <xf numFmtId="0" fontId="40" fillId="4" borderId="42" xfId="0" applyFont="1" applyFill="1" applyBorder="1"/>
    <xf numFmtId="0" fontId="20" fillId="4" borderId="42" xfId="0" applyFont="1" applyFill="1" applyBorder="1"/>
    <xf numFmtId="0" fontId="20" fillId="4" borderId="45" xfId="0" applyFont="1" applyFill="1" applyBorder="1"/>
    <xf numFmtId="0" fontId="18" fillId="4" borderId="57" xfId="0" applyFont="1" applyFill="1" applyBorder="1"/>
    <xf numFmtId="0" fontId="40" fillId="7" borderId="25" xfId="0" applyFont="1" applyFill="1" applyBorder="1"/>
    <xf numFmtId="0" fontId="40" fillId="7" borderId="49" xfId="0" applyFont="1" applyFill="1" applyBorder="1" applyAlignment="1" applyProtection="1">
      <alignment horizontal="center"/>
      <protection locked="0"/>
    </xf>
    <xf numFmtId="0" fontId="40" fillId="7" borderId="25" xfId="0" applyFont="1" applyFill="1" applyBorder="1" applyAlignment="1">
      <alignment horizontal="center"/>
    </xf>
    <xf numFmtId="0" fontId="40" fillId="7" borderId="34" xfId="0" applyFont="1" applyFill="1" applyBorder="1" applyAlignment="1">
      <alignment horizontal="center"/>
    </xf>
    <xf numFmtId="0" fontId="40" fillId="7" borderId="3" xfId="0" applyFont="1" applyFill="1" applyBorder="1" applyAlignment="1">
      <alignment horizontal="center"/>
    </xf>
    <xf numFmtId="0" fontId="40" fillId="7" borderId="24" xfId="0" applyFont="1" applyFill="1" applyBorder="1" applyAlignment="1">
      <alignment horizontal="center"/>
    </xf>
    <xf numFmtId="0" fontId="40" fillId="7" borderId="25" xfId="0" applyFont="1" applyFill="1" applyBorder="1" applyAlignment="1" applyProtection="1">
      <alignment horizontal="center"/>
      <protection locked="0"/>
    </xf>
    <xf numFmtId="0" fontId="40" fillId="7" borderId="30" xfId="0" applyFont="1" applyFill="1" applyBorder="1"/>
    <xf numFmtId="0" fontId="40" fillId="7" borderId="25" xfId="0" applyFont="1" applyFill="1" applyBorder="1" applyAlignment="1">
      <alignment horizontal="left"/>
    </xf>
    <xf numFmtId="0" fontId="40" fillId="7" borderId="49" xfId="0" applyFont="1" applyFill="1" applyBorder="1" applyAlignment="1">
      <alignment horizontal="left"/>
    </xf>
    <xf numFmtId="0" fontId="40" fillId="7" borderId="39" xfId="0" applyFont="1" applyFill="1" applyBorder="1" applyAlignment="1">
      <alignment horizontal="left"/>
    </xf>
    <xf numFmtId="0" fontId="20" fillId="7" borderId="35" xfId="0" applyFont="1" applyFill="1" applyBorder="1"/>
    <xf numFmtId="0" fontId="20" fillId="7" borderId="29" xfId="0" applyFont="1" applyFill="1" applyBorder="1"/>
    <xf numFmtId="0" fontId="40" fillId="7" borderId="1" xfId="0" applyFont="1" applyFill="1" applyBorder="1"/>
    <xf numFmtId="0" fontId="40" fillId="7" borderId="45" xfId="0" applyFont="1" applyFill="1" applyBorder="1"/>
    <xf numFmtId="0" fontId="20" fillId="7" borderId="1" xfId="0" applyFont="1" applyFill="1" applyBorder="1"/>
    <xf numFmtId="0" fontId="20" fillId="7" borderId="24" xfId="0" applyFont="1" applyFill="1" applyBorder="1"/>
    <xf numFmtId="0" fontId="41" fillId="6" borderId="9" xfId="0" applyFont="1" applyFill="1" applyBorder="1" applyAlignment="1" applyProtection="1">
      <alignment horizontal="left" vertical="top"/>
      <protection locked="0"/>
    </xf>
    <xf numFmtId="0" fontId="42" fillId="6" borderId="0" xfId="0" applyFont="1" applyFill="1" applyAlignment="1" applyProtection="1">
      <alignment horizontal="left" vertical="top"/>
      <protection locked="0"/>
    </xf>
    <xf numFmtId="0" fontId="41" fillId="6" borderId="7" xfId="0" applyFont="1" applyFill="1" applyBorder="1" applyAlignment="1" applyProtection="1">
      <alignment horizontal="left" vertical="top"/>
      <protection locked="0"/>
    </xf>
    <xf numFmtId="0" fontId="42" fillId="6" borderId="8" xfId="0" applyFont="1" applyFill="1" applyBorder="1" applyAlignment="1" applyProtection="1">
      <alignment horizontal="left" vertical="top"/>
      <protection locked="0"/>
    </xf>
    <xf numFmtId="0" fontId="27" fillId="5" borderId="0" xfId="0" applyFont="1" applyFill="1"/>
    <xf numFmtId="0" fontId="20" fillId="4" borderId="56" xfId="0" applyFont="1" applyFill="1" applyBorder="1"/>
    <xf numFmtId="0" fontId="20" fillId="4" borderId="2" xfId="0" applyFont="1" applyFill="1" applyBorder="1" applyAlignment="1" applyProtection="1">
      <alignment horizontal="center"/>
      <protection locked="0"/>
    </xf>
    <xf numFmtId="0" fontId="20" fillId="4" borderId="42" xfId="0" applyFont="1" applyFill="1" applyBorder="1" applyAlignment="1" applyProtection="1">
      <alignment horizontal="center"/>
      <protection locked="0"/>
    </xf>
    <xf numFmtId="0" fontId="1" fillId="4" borderId="0" xfId="1" applyFill="1" applyAlignment="1">
      <alignment horizontal="center"/>
    </xf>
    <xf numFmtId="0" fontId="3" fillId="0" borderId="0" xfId="0" applyFont="1" applyAlignment="1">
      <alignment horizontal="center"/>
    </xf>
    <xf numFmtId="0" fontId="0" fillId="0" borderId="0" xfId="0" applyAlignment="1">
      <alignment horizontal="center"/>
    </xf>
    <xf numFmtId="0" fontId="43" fillId="4" borderId="0" xfId="0" applyFont="1" applyFill="1"/>
    <xf numFmtId="49" fontId="40" fillId="7" borderId="24" xfId="0" applyNumberFormat="1" applyFont="1" applyFill="1" applyBorder="1" applyAlignment="1">
      <alignment wrapText="1"/>
    </xf>
    <xf numFmtId="0" fontId="40" fillId="7" borderId="49" xfId="0" applyFont="1" applyFill="1" applyBorder="1"/>
    <xf numFmtId="0" fontId="40" fillId="7" borderId="58" xfId="0" applyFont="1" applyFill="1" applyBorder="1" applyAlignment="1" applyProtection="1">
      <alignment horizontal="center"/>
      <protection locked="0"/>
    </xf>
    <xf numFmtId="0" fontId="21" fillId="5" borderId="59" xfId="0" applyFont="1" applyFill="1" applyBorder="1" applyAlignment="1">
      <alignment horizontal="center"/>
    </xf>
    <xf numFmtId="0" fontId="20" fillId="4" borderId="36" xfId="0" applyFont="1" applyFill="1" applyBorder="1" applyAlignment="1" applyProtection="1">
      <alignment horizontal="center"/>
      <protection locked="0"/>
    </xf>
    <xf numFmtId="0" fontId="20" fillId="4" borderId="1" xfId="0" applyFont="1" applyFill="1" applyBorder="1" applyAlignment="1" applyProtection="1">
      <alignment horizontal="center"/>
      <protection locked="0"/>
    </xf>
    <xf numFmtId="49" fontId="20" fillId="4" borderId="36" xfId="0" applyNumberFormat="1" applyFont="1" applyFill="1" applyBorder="1" applyAlignment="1" applyProtection="1">
      <alignment horizontal="center"/>
      <protection locked="0"/>
    </xf>
    <xf numFmtId="0" fontId="44" fillId="4" borderId="0" xfId="0" applyFont="1" applyFill="1"/>
    <xf numFmtId="0" fontId="18" fillId="4" borderId="0" xfId="0" applyFont="1" applyFill="1" applyAlignment="1">
      <alignment horizontal="right"/>
    </xf>
    <xf numFmtId="0" fontId="45" fillId="4" borderId="0" xfId="0" applyFont="1" applyFill="1" applyAlignment="1">
      <alignment horizontal="right"/>
    </xf>
    <xf numFmtId="0" fontId="45" fillId="4" borderId="0" xfId="0" applyFont="1" applyFill="1" applyAlignment="1">
      <alignment horizontal="center"/>
    </xf>
    <xf numFmtId="0" fontId="17" fillId="6" borderId="15" xfId="0" applyFont="1" applyFill="1" applyBorder="1" applyAlignment="1">
      <alignment horizontal="center"/>
    </xf>
    <xf numFmtId="0" fontId="40" fillId="7" borderId="60" xfId="0" applyFont="1" applyFill="1" applyBorder="1" applyAlignment="1" applyProtection="1">
      <alignment horizontal="center"/>
      <protection locked="0"/>
    </xf>
    <xf numFmtId="0" fontId="21" fillId="5" borderId="1" xfId="0" applyFont="1" applyFill="1" applyBorder="1" applyAlignment="1">
      <alignment horizontal="center"/>
    </xf>
    <xf numFmtId="0" fontId="21" fillId="5" borderId="2" xfId="0" applyFont="1" applyFill="1" applyBorder="1" applyAlignment="1">
      <alignment horizontal="center"/>
    </xf>
    <xf numFmtId="0" fontId="21" fillId="5" borderId="61" xfId="0" applyFont="1" applyFill="1" applyBorder="1" applyAlignment="1">
      <alignment horizontal="center"/>
    </xf>
    <xf numFmtId="0" fontId="21" fillId="5" borderId="62" xfId="0" applyFont="1" applyFill="1" applyBorder="1" applyAlignment="1">
      <alignment horizontal="center"/>
    </xf>
    <xf numFmtId="0" fontId="20" fillId="6" borderId="15" xfId="0" applyFont="1" applyFill="1" applyBorder="1"/>
    <xf numFmtId="0" fontId="40" fillId="7" borderId="58" xfId="0" applyFont="1" applyFill="1" applyBorder="1" applyAlignment="1">
      <alignment horizontal="center"/>
    </xf>
    <xf numFmtId="0" fontId="40" fillId="7" borderId="63" xfId="0" applyFont="1" applyFill="1" applyBorder="1" applyAlignment="1">
      <alignment horizontal="left"/>
    </xf>
    <xf numFmtId="0" fontId="40" fillId="7" borderId="64" xfId="0" applyFont="1" applyFill="1" applyBorder="1" applyAlignment="1">
      <alignment horizontal="left"/>
    </xf>
    <xf numFmtId="0" fontId="21" fillId="5" borderId="1" xfId="0" applyFont="1" applyFill="1" applyBorder="1"/>
    <xf numFmtId="0" fontId="21" fillId="5" borderId="24" xfId="0" applyFont="1" applyFill="1" applyBorder="1"/>
    <xf numFmtId="0" fontId="20" fillId="4" borderId="50" xfId="0" applyFont="1" applyFill="1" applyBorder="1" applyAlignment="1" applyProtection="1">
      <alignment horizontal="center"/>
      <protection locked="0"/>
    </xf>
    <xf numFmtId="0" fontId="40" fillId="4" borderId="0" xfId="0" applyFont="1" applyFill="1"/>
    <xf numFmtId="0" fontId="46" fillId="4" borderId="0" xfId="0" applyFont="1" applyFill="1"/>
    <xf numFmtId="0" fontId="48" fillId="4" borderId="0" xfId="0" applyFont="1" applyFill="1"/>
    <xf numFmtId="0" fontId="47" fillId="4" borderId="0" xfId="0" applyFont="1" applyFill="1"/>
    <xf numFmtId="164" fontId="20" fillId="4" borderId="51" xfId="0" applyNumberFormat="1" applyFont="1" applyFill="1" applyBorder="1" applyAlignment="1" applyProtection="1">
      <alignment horizontal="left"/>
      <protection locked="0"/>
    </xf>
    <xf numFmtId="0" fontId="0" fillId="4" borderId="50" xfId="0" applyFill="1" applyBorder="1" applyAlignment="1" applyProtection="1">
      <alignment horizontal="center"/>
      <protection locked="0"/>
    </xf>
    <xf numFmtId="49" fontId="50" fillId="4" borderId="50" xfId="0" applyNumberFormat="1" applyFont="1" applyFill="1" applyBorder="1" applyAlignment="1" applyProtection="1">
      <alignment horizontal="center"/>
      <protection locked="0"/>
    </xf>
    <xf numFmtId="0" fontId="50" fillId="4" borderId="50" xfId="0" applyFont="1" applyFill="1" applyBorder="1" applyProtection="1">
      <protection locked="0"/>
    </xf>
    <xf numFmtId="49" fontId="50" fillId="4" borderId="1" xfId="0" applyNumberFormat="1" applyFont="1" applyFill="1" applyBorder="1" applyAlignment="1" applyProtection="1">
      <alignment horizontal="center"/>
      <protection locked="0"/>
    </xf>
    <xf numFmtId="0" fontId="50" fillId="4" borderId="2" xfId="0" applyFont="1" applyFill="1" applyBorder="1" applyProtection="1">
      <protection locked="0"/>
    </xf>
    <xf numFmtId="0" fontId="50" fillId="4" borderId="1" xfId="0" applyFont="1" applyFill="1" applyBorder="1" applyProtection="1">
      <protection locked="0"/>
    </xf>
    <xf numFmtId="0" fontId="20" fillId="4" borderId="9" xfId="0" applyFont="1" applyFill="1" applyBorder="1" applyAlignment="1" applyProtection="1">
      <alignment horizontal="left" vertical="top" wrapText="1"/>
      <protection locked="0"/>
    </xf>
    <xf numFmtId="0" fontId="20" fillId="4" borderId="0" xfId="0" applyFont="1" applyFill="1" applyAlignment="1" applyProtection="1">
      <alignment horizontal="left" vertical="top" wrapText="1"/>
      <protection locked="0"/>
    </xf>
    <xf numFmtId="0" fontId="20" fillId="4" borderId="9" xfId="0" applyFont="1" applyFill="1" applyBorder="1" applyAlignment="1" applyProtection="1">
      <alignment vertical="top" wrapText="1"/>
      <protection locked="0"/>
    </xf>
    <xf numFmtId="0" fontId="20" fillId="4" borderId="0" xfId="0" applyFont="1" applyFill="1" applyAlignment="1" applyProtection="1">
      <alignment vertical="top" wrapText="1"/>
      <protection locked="0"/>
    </xf>
    <xf numFmtId="0" fontId="17" fillId="6" borderId="15" xfId="0" applyFont="1" applyFill="1" applyBorder="1" applyAlignment="1">
      <alignment horizontal="center"/>
    </xf>
    <xf numFmtId="0" fontId="17" fillId="6" borderId="31" xfId="0" applyFont="1" applyFill="1" applyBorder="1" applyAlignment="1">
      <alignment horizontal="center"/>
    </xf>
    <xf numFmtId="0" fontId="24" fillId="6" borderId="33" xfId="0" applyFont="1" applyFill="1" applyBorder="1" applyAlignment="1">
      <alignment horizontal="center"/>
    </xf>
    <xf numFmtId="0" fontId="24" fillId="6" borderId="31" xfId="0" applyFont="1" applyFill="1" applyBorder="1" applyAlignment="1">
      <alignment horizontal="center"/>
    </xf>
    <xf numFmtId="0" fontId="19" fillId="4" borderId="0" xfId="1" applyFont="1" applyFill="1" applyAlignment="1">
      <alignment horizontal="center"/>
    </xf>
    <xf numFmtId="0" fontId="1" fillId="4" borderId="0" xfId="1" applyFill="1" applyAlignment="1">
      <alignment horizontal="center"/>
    </xf>
    <xf numFmtId="0" fontId="16" fillId="5" borderId="54" xfId="0" applyFont="1" applyFill="1" applyBorder="1" applyAlignment="1">
      <alignment horizontal="left"/>
    </xf>
    <xf numFmtId="0" fontId="16" fillId="5" borderId="55" xfId="0" applyFont="1" applyFill="1" applyBorder="1" applyAlignment="1">
      <alignment horizontal="left"/>
    </xf>
    <xf numFmtId="0" fontId="20" fillId="4" borderId="11" xfId="0" applyFont="1" applyFill="1" applyBorder="1" applyAlignment="1" applyProtection="1">
      <alignment vertical="top" wrapText="1"/>
      <protection locked="0"/>
    </xf>
    <xf numFmtId="0" fontId="20" fillId="4" borderId="12" xfId="0" applyFont="1" applyFill="1" applyBorder="1" applyAlignment="1" applyProtection="1">
      <alignment vertical="top" wrapText="1"/>
      <protection locked="0"/>
    </xf>
    <xf numFmtId="0" fontId="17" fillId="6" borderId="33" xfId="0" applyFont="1" applyFill="1" applyBorder="1" applyAlignment="1">
      <alignment horizontal="center"/>
    </xf>
    <xf numFmtId="0" fontId="17" fillId="6" borderId="15" xfId="0" applyFont="1" applyFill="1" applyBorder="1" applyAlignment="1">
      <alignment horizontal="right"/>
    </xf>
    <xf numFmtId="0" fontId="17" fillId="6" borderId="33" xfId="0" applyFont="1" applyFill="1" applyBorder="1" applyAlignment="1">
      <alignment horizontal="right"/>
    </xf>
  </cellXfs>
  <cellStyles count="2">
    <cellStyle name="Hyperlink" xfId="1" builtinId="8"/>
    <cellStyle name="Normal" xfId="0" builtinId="0"/>
  </cellStyles>
  <dxfs count="53">
    <dxf>
      <fill>
        <gradientFill degree="180">
          <stop position="0">
            <color theme="0"/>
          </stop>
          <stop position="1">
            <color rgb="FFFF7700"/>
          </stop>
        </gradientFill>
      </fill>
    </dxf>
    <dxf>
      <fill>
        <gradientFill degree="180">
          <stop position="0">
            <color theme="0"/>
          </stop>
          <stop position="1">
            <color rgb="FF92D050"/>
          </stop>
        </gradientFill>
      </fill>
    </dxf>
    <dxf>
      <fill>
        <gradientFill degree="180">
          <stop position="0">
            <color theme="0"/>
          </stop>
          <stop position="1">
            <color theme="4"/>
          </stop>
        </gradientFill>
      </fill>
    </dxf>
    <dxf>
      <fill>
        <gradientFill degree="180">
          <stop position="0">
            <color theme="0"/>
          </stop>
          <stop position="1">
            <color rgb="FFFFFF00"/>
          </stop>
        </gradientFill>
      </fill>
    </dxf>
    <dxf>
      <fill>
        <gradientFill degree="180">
          <stop position="0">
            <color theme="0"/>
          </stop>
          <stop position="1">
            <color rgb="FFC00000"/>
          </stop>
        </gradientFill>
      </fill>
    </dxf>
    <dxf>
      <fill>
        <patternFill>
          <bgColor theme="5"/>
        </patternFill>
      </fill>
    </dxf>
    <dxf>
      <fill>
        <patternFill>
          <bgColor rgb="FF92D050"/>
        </patternFill>
      </fill>
    </dxf>
    <dxf>
      <fill>
        <patternFill>
          <bgColor theme="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gradientFill degree="180">
          <stop position="0">
            <color theme="0"/>
          </stop>
          <stop position="1">
            <color rgb="FF92D050"/>
          </stop>
        </gradientFill>
      </fill>
    </dxf>
    <dxf>
      <fill>
        <gradientFill degree="180">
          <stop position="0">
            <color theme="0"/>
          </stop>
          <stop position="1">
            <color rgb="FFFF7700"/>
          </stop>
        </gradientFill>
      </fill>
    </dxf>
    <dxf>
      <fill>
        <gradientFill degree="180">
          <stop position="0">
            <color theme="0"/>
          </stop>
          <stop position="1">
            <color theme="4"/>
          </stop>
        </gradientFill>
      </fill>
    </dxf>
    <dxf>
      <fill>
        <gradientFill degree="180">
          <stop position="0">
            <color theme="0"/>
          </stop>
          <stop position="1">
            <color rgb="FFFFFF00"/>
          </stop>
        </gradientFill>
      </fill>
    </dxf>
    <dxf>
      <fill>
        <gradientFill degree="180">
          <stop position="0">
            <color theme="0"/>
          </stop>
          <stop position="1">
            <color rgb="FFC00000"/>
          </stop>
        </gradientFill>
      </fill>
    </dxf>
    <dxf>
      <fill>
        <patternFill>
          <bgColor rgb="FF92D050"/>
        </patternFill>
      </fill>
    </dxf>
    <dxf>
      <fill>
        <patternFill>
          <bgColor theme="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gradientFill degree="180">
          <stop position="0">
            <color theme="0"/>
          </stop>
          <stop position="1">
            <color rgb="FF92D050"/>
          </stop>
        </gradientFill>
      </fill>
    </dxf>
    <dxf>
      <fill>
        <gradientFill degree="180">
          <stop position="0">
            <color theme="0"/>
          </stop>
          <stop position="1">
            <color rgb="FFFF7700"/>
          </stop>
        </gradientFill>
      </fill>
    </dxf>
    <dxf>
      <fill>
        <gradientFill degree="180">
          <stop position="0">
            <color theme="0"/>
          </stop>
          <stop position="1">
            <color theme="4"/>
          </stop>
        </gradientFill>
      </fill>
    </dxf>
    <dxf>
      <fill>
        <gradientFill degree="180">
          <stop position="0">
            <color theme="0"/>
          </stop>
          <stop position="1">
            <color rgb="FFFFFF00"/>
          </stop>
        </gradientFill>
      </fill>
    </dxf>
    <dxf>
      <fill>
        <gradientFill degree="180">
          <stop position="0">
            <color theme="0"/>
          </stop>
          <stop position="1">
            <color rgb="FFC00000"/>
          </stop>
        </gradientFill>
      </fill>
    </dxf>
    <dxf>
      <fill>
        <patternFill>
          <bgColor rgb="FF92D050"/>
        </patternFill>
      </fill>
    </dxf>
    <dxf>
      <fill>
        <patternFill>
          <bgColor theme="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gradientFill degree="180">
          <stop position="0">
            <color theme="0"/>
          </stop>
          <stop position="1">
            <color rgb="FF92D050"/>
          </stop>
        </gradientFill>
      </fill>
    </dxf>
    <dxf>
      <fill>
        <gradientFill degree="180">
          <stop position="0">
            <color theme="0"/>
          </stop>
          <stop position="1">
            <color rgb="FFFF7700"/>
          </stop>
        </gradientFill>
      </fill>
    </dxf>
    <dxf>
      <fill>
        <gradientFill degree="180">
          <stop position="0">
            <color theme="0"/>
          </stop>
          <stop position="1">
            <color theme="4"/>
          </stop>
        </gradientFill>
      </fill>
    </dxf>
    <dxf>
      <fill>
        <gradientFill degree="180">
          <stop position="0">
            <color theme="0"/>
          </stop>
          <stop position="1">
            <color rgb="FFFFFF00"/>
          </stop>
        </gradientFill>
      </fill>
    </dxf>
    <dxf>
      <fill>
        <gradientFill degree="180">
          <stop position="0">
            <color theme="0"/>
          </stop>
          <stop position="1">
            <color rgb="FFC00000"/>
          </stop>
        </gradientFill>
      </fill>
    </dxf>
    <dxf>
      <fill>
        <patternFill>
          <bgColor rgb="FF92D050"/>
        </patternFill>
      </fill>
    </dxf>
    <dxf>
      <fill>
        <patternFill>
          <bgColor theme="5"/>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5"/>
        </patternFill>
      </fill>
    </dxf>
    <dxf>
      <fill>
        <patternFill>
          <bgColor theme="7" tint="0.39994506668294322"/>
        </patternFill>
      </fill>
    </dxf>
    <dxf>
      <fill>
        <patternFill>
          <bgColor rgb="FFF55F41"/>
        </patternFill>
      </fill>
    </dxf>
    <dxf>
      <fill>
        <patternFill>
          <bgColor theme="9" tint="0.59996337778862885"/>
        </patternFill>
      </fill>
    </dxf>
  </dxfs>
  <tableStyles count="0" defaultTableStyle="TableStyleMedium2" defaultPivotStyle="PivotStyleLight16"/>
  <colors>
    <mruColors>
      <color rgb="FFF55F41"/>
      <color rgb="FFFF7700"/>
      <color rgb="FFC8E2F0"/>
      <color rgb="FFEB6E19"/>
      <color rgb="FFEB33A9"/>
      <color rgb="FFFF3399"/>
      <color rgb="FF2E3F42"/>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 Id="rId22" Type="http://schemas.openxmlformats.org/officeDocument/2006/relationships/customXml" Target="../customXml/item3.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 Explanation'!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 Explanation'!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 Explanation'!A1"/></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 Explanation'!A1"/></Relationships>
</file>

<file path=xl/drawings/drawing1.xml><?xml version="1.0" encoding="utf-8"?>
<xdr:wsDr xmlns:xdr="http://schemas.openxmlformats.org/drawingml/2006/spreadsheetDrawing" xmlns:a="http://schemas.openxmlformats.org/drawingml/2006/main">
  <xdr:twoCellAnchor>
    <xdr:from>
      <xdr:col>0</xdr:col>
      <xdr:colOff>566615</xdr:colOff>
      <xdr:row>0</xdr:row>
      <xdr:rowOff>131884</xdr:rowOff>
    </xdr:from>
    <xdr:to>
      <xdr:col>2</xdr:col>
      <xdr:colOff>924437</xdr:colOff>
      <xdr:row>7</xdr:row>
      <xdr:rowOff>171116</xdr:rowOff>
    </xdr:to>
    <xdr:grpSp>
      <xdr:nvGrpSpPr>
        <xdr:cNvPr id="2" name="Group 1">
          <a:extLst>
            <a:ext uri="{FF2B5EF4-FFF2-40B4-BE49-F238E27FC236}">
              <a16:creationId xmlns:a16="http://schemas.microsoft.com/office/drawing/2014/main" id="{47B73415-700F-4860-AB26-432ED47BE4A0}"/>
            </a:ext>
          </a:extLst>
        </xdr:cNvPr>
        <xdr:cNvGrpSpPr/>
      </xdr:nvGrpSpPr>
      <xdr:grpSpPr>
        <a:xfrm>
          <a:off x="566615" y="131884"/>
          <a:ext cx="3042239" cy="1319392"/>
          <a:chOff x="4913923" y="381000"/>
          <a:chExt cx="2831147" cy="1372732"/>
        </a:xfrm>
      </xdr:grpSpPr>
      <xdr:sp macro="" textlink="">
        <xdr:nvSpPr>
          <xdr:cNvPr id="3" name="Freeform: Shape 2">
            <a:extLst>
              <a:ext uri="{FF2B5EF4-FFF2-40B4-BE49-F238E27FC236}">
                <a16:creationId xmlns:a16="http://schemas.microsoft.com/office/drawing/2014/main" id="{1A9A8BDA-AC4F-AD8A-4E70-EACAC1A2BBE7}"/>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4" name="Freeform: Shape 3">
            <a:extLst>
              <a:ext uri="{FF2B5EF4-FFF2-40B4-BE49-F238E27FC236}">
                <a16:creationId xmlns:a16="http://schemas.microsoft.com/office/drawing/2014/main" id="{BD0069B9-44BA-55F2-D92D-05F5B155135F}"/>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63501</xdr:colOff>
      <xdr:row>1</xdr:row>
      <xdr:rowOff>9769</xdr:rowOff>
    </xdr:from>
    <xdr:to>
      <xdr:col>3</xdr:col>
      <xdr:colOff>747347</xdr:colOff>
      <xdr:row>7</xdr:row>
      <xdr:rowOff>154753</xdr:rowOff>
    </xdr:to>
    <xdr:grpSp>
      <xdr:nvGrpSpPr>
        <xdr:cNvPr id="2" name="Group 1">
          <a:extLst>
            <a:ext uri="{FF2B5EF4-FFF2-40B4-BE49-F238E27FC236}">
              <a16:creationId xmlns:a16="http://schemas.microsoft.com/office/drawing/2014/main" id="{3EB85580-9C65-4779-AB17-6C348EA00C2E}"/>
            </a:ext>
          </a:extLst>
        </xdr:cNvPr>
        <xdr:cNvGrpSpPr/>
      </xdr:nvGrpSpPr>
      <xdr:grpSpPr>
        <a:xfrm>
          <a:off x="681893" y="203200"/>
          <a:ext cx="2972777" cy="1305568"/>
          <a:chOff x="4913923" y="381000"/>
          <a:chExt cx="2831147" cy="1372732"/>
        </a:xfrm>
      </xdr:grpSpPr>
      <xdr:sp macro="" textlink="">
        <xdr:nvSpPr>
          <xdr:cNvPr id="4" name="Freeform: Shape 3">
            <a:extLst>
              <a:ext uri="{FF2B5EF4-FFF2-40B4-BE49-F238E27FC236}">
                <a16:creationId xmlns:a16="http://schemas.microsoft.com/office/drawing/2014/main" id="{D58FBCAA-F865-D9A4-43CE-B47D549934A1}"/>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5" name="Freeform: Shape 4">
            <a:extLst>
              <a:ext uri="{FF2B5EF4-FFF2-40B4-BE49-F238E27FC236}">
                <a16:creationId xmlns:a16="http://schemas.microsoft.com/office/drawing/2014/main" id="{CD31D297-26B1-A503-F153-0CCC70FCC1B1}"/>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566615</xdr:colOff>
      <xdr:row>0</xdr:row>
      <xdr:rowOff>131884</xdr:rowOff>
    </xdr:from>
    <xdr:to>
      <xdr:col>2</xdr:col>
      <xdr:colOff>924437</xdr:colOff>
      <xdr:row>7</xdr:row>
      <xdr:rowOff>171116</xdr:rowOff>
    </xdr:to>
    <xdr:grpSp>
      <xdr:nvGrpSpPr>
        <xdr:cNvPr id="11" name="Group 10">
          <a:extLst>
            <a:ext uri="{FF2B5EF4-FFF2-40B4-BE49-F238E27FC236}">
              <a16:creationId xmlns:a16="http://schemas.microsoft.com/office/drawing/2014/main" id="{13C7FE64-8658-1437-5F40-BC97F4B42FF3}"/>
            </a:ext>
          </a:extLst>
        </xdr:cNvPr>
        <xdr:cNvGrpSpPr/>
      </xdr:nvGrpSpPr>
      <xdr:grpSpPr>
        <a:xfrm>
          <a:off x="566615" y="131884"/>
          <a:ext cx="3042407" cy="1311186"/>
          <a:chOff x="4913923" y="381000"/>
          <a:chExt cx="2831147" cy="1372732"/>
        </a:xfrm>
      </xdr:grpSpPr>
      <xdr:sp macro="" textlink="">
        <xdr:nvSpPr>
          <xdr:cNvPr id="9" name="Freeform: Shape 8">
            <a:extLst>
              <a:ext uri="{FF2B5EF4-FFF2-40B4-BE49-F238E27FC236}">
                <a16:creationId xmlns:a16="http://schemas.microsoft.com/office/drawing/2014/main" id="{24CF6721-086B-9F13-1D41-CD35B11C7D76}"/>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10" name="Freeform: Shape 9">
            <a:extLst>
              <a:ext uri="{FF2B5EF4-FFF2-40B4-BE49-F238E27FC236}">
                <a16:creationId xmlns:a16="http://schemas.microsoft.com/office/drawing/2014/main" id="{47095753-12C8-5CAD-DD33-672C6B774625}"/>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36466</xdr:colOff>
      <xdr:row>5</xdr:row>
      <xdr:rowOff>65741</xdr:rowOff>
    </xdr:from>
    <xdr:to>
      <xdr:col>5</xdr:col>
      <xdr:colOff>642704</xdr:colOff>
      <xdr:row>6</xdr:row>
      <xdr:rowOff>191432</xdr:rowOff>
    </xdr:to>
    <xdr:cxnSp macro="">
      <xdr:nvCxnSpPr>
        <xdr:cNvPr id="7" name="Rechte verbindingslijn 13">
          <a:extLst>
            <a:ext uri="{FF2B5EF4-FFF2-40B4-BE49-F238E27FC236}">
              <a16:creationId xmlns:a16="http://schemas.microsoft.com/office/drawing/2014/main" id="{AD2E920A-961B-4A1E-8617-F98A3CDFEC5C}"/>
            </a:ext>
          </a:extLst>
        </xdr:cNvPr>
        <xdr:cNvCxnSpPr/>
      </xdr:nvCxnSpPr>
      <xdr:spPr>
        <a:xfrm flipH="1">
          <a:off x="6203904" y="1065866"/>
          <a:ext cx="606238" cy="328097"/>
        </a:xfrm>
        <a:prstGeom prst="line">
          <a:avLst/>
        </a:prstGeom>
        <a:ln w="19050">
          <a:solidFill>
            <a:srgbClr val="FF77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9769</xdr:colOff>
      <xdr:row>30</xdr:row>
      <xdr:rowOff>39565</xdr:rowOff>
    </xdr:from>
    <xdr:to>
      <xdr:col>6</xdr:col>
      <xdr:colOff>385641</xdr:colOff>
      <xdr:row>33</xdr:row>
      <xdr:rowOff>29552</xdr:rowOff>
    </xdr:to>
    <xdr:sp macro="" textlink="">
      <xdr:nvSpPr>
        <xdr:cNvPr id="2" name="Arrow: Curved Left 1">
          <a:extLst>
            <a:ext uri="{FF2B5EF4-FFF2-40B4-BE49-F238E27FC236}">
              <a16:creationId xmlns:a16="http://schemas.microsoft.com/office/drawing/2014/main" id="{E7A2A2D7-58BA-2B0F-E13D-6F2A6D3E9DB2}"/>
            </a:ext>
          </a:extLst>
        </xdr:cNvPr>
        <xdr:cNvSpPr/>
      </xdr:nvSpPr>
      <xdr:spPr>
        <a:xfrm>
          <a:off x="8106019" y="6116515"/>
          <a:ext cx="375872" cy="599587"/>
        </a:xfrm>
        <a:prstGeom prst="curvedLeftArrow">
          <a:avLst>
            <a:gd name="adj1" fmla="val 27627"/>
            <a:gd name="adj2" fmla="val 50000"/>
            <a:gd name="adj3" fmla="val 25000"/>
          </a:avLst>
        </a:prstGeom>
        <a:solidFill>
          <a:schemeClr val="accent2"/>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NL" sz="1100">
            <a:solidFill>
              <a:schemeClr val="tx1"/>
            </a:solidFill>
          </a:endParaRPr>
        </a:p>
      </xdr:txBody>
    </xdr:sp>
    <xdr:clientData/>
  </xdr:twoCellAnchor>
  <xdr:twoCellAnchor editAs="oneCell">
    <xdr:from>
      <xdr:col>7</xdr:col>
      <xdr:colOff>0</xdr:colOff>
      <xdr:row>1</xdr:row>
      <xdr:rowOff>0</xdr:rowOff>
    </xdr:from>
    <xdr:to>
      <xdr:col>8</xdr:col>
      <xdr:colOff>1274174</xdr:colOff>
      <xdr:row>7</xdr:row>
      <xdr:rowOff>55228</xdr:rowOff>
    </xdr:to>
    <xdr:pic>
      <xdr:nvPicPr>
        <xdr:cNvPr id="4" name="Picture 3">
          <a:hlinkClick xmlns:r="http://schemas.openxmlformats.org/officeDocument/2006/relationships" r:id="rId1" tooltip="Click here for more information"/>
          <a:extLst>
            <a:ext uri="{FF2B5EF4-FFF2-40B4-BE49-F238E27FC236}">
              <a16:creationId xmlns:a16="http://schemas.microsoft.com/office/drawing/2014/main" id="{5716C49F-8CF5-59A5-6633-E2CA57ED287C}"/>
            </a:ext>
          </a:extLst>
        </xdr:cNvPr>
        <xdr:cNvPicPr>
          <a:picLocks noChangeAspect="1"/>
        </xdr:cNvPicPr>
      </xdr:nvPicPr>
      <xdr:blipFill>
        <a:blip xmlns:r="http://schemas.openxmlformats.org/officeDocument/2006/relationships" r:embed="rId2">
          <a:duotone>
            <a:prstClr val="black"/>
            <a:srgbClr val="2E3F42">
              <a:tint val="45000"/>
              <a:satMod val="400000"/>
            </a:srgbClr>
          </a:duotone>
        </a:blip>
        <a:stretch>
          <a:fillRect/>
        </a:stretch>
      </xdr:blipFill>
      <xdr:spPr>
        <a:xfrm>
          <a:off x="10191750" y="190500"/>
          <a:ext cx="1274174" cy="1268078"/>
        </a:xfrm>
        <a:prstGeom prst="rect">
          <a:avLst/>
        </a:prstGeom>
      </xdr:spPr>
    </xdr:pic>
    <xdr:clientData/>
  </xdr:twoCellAnchor>
  <xdr:twoCellAnchor>
    <xdr:from>
      <xdr:col>1</xdr:col>
      <xdr:colOff>120651</xdr:colOff>
      <xdr:row>1</xdr:row>
      <xdr:rowOff>165100</xdr:rowOff>
    </xdr:from>
    <xdr:to>
      <xdr:col>2</xdr:col>
      <xdr:colOff>2592458</xdr:colOff>
      <xdr:row>8</xdr:row>
      <xdr:rowOff>115432</xdr:rowOff>
    </xdr:to>
    <xdr:grpSp>
      <xdr:nvGrpSpPr>
        <xdr:cNvPr id="5" name="Group 4">
          <a:extLst>
            <a:ext uri="{FF2B5EF4-FFF2-40B4-BE49-F238E27FC236}">
              <a16:creationId xmlns:a16="http://schemas.microsoft.com/office/drawing/2014/main" id="{0EF3B53A-8749-4E50-8088-8AD9B167AFBC}"/>
            </a:ext>
          </a:extLst>
        </xdr:cNvPr>
        <xdr:cNvGrpSpPr/>
      </xdr:nvGrpSpPr>
      <xdr:grpSpPr>
        <a:xfrm>
          <a:off x="737871" y="355600"/>
          <a:ext cx="2929007" cy="1321932"/>
          <a:chOff x="4913923" y="381000"/>
          <a:chExt cx="2831147" cy="1372732"/>
        </a:xfrm>
      </xdr:grpSpPr>
      <xdr:sp macro="" textlink="">
        <xdr:nvSpPr>
          <xdr:cNvPr id="6" name="Freeform: Shape 5">
            <a:extLst>
              <a:ext uri="{FF2B5EF4-FFF2-40B4-BE49-F238E27FC236}">
                <a16:creationId xmlns:a16="http://schemas.microsoft.com/office/drawing/2014/main" id="{1DB95D96-6BBA-68AE-A894-2DEEE05E7F75}"/>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8" name="Freeform: Shape 7">
            <a:extLst>
              <a:ext uri="{FF2B5EF4-FFF2-40B4-BE49-F238E27FC236}">
                <a16:creationId xmlns:a16="http://schemas.microsoft.com/office/drawing/2014/main" id="{531BC791-5EEF-BAA5-9BF3-62AB05A235AE}"/>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36466</xdr:colOff>
      <xdr:row>5</xdr:row>
      <xdr:rowOff>65741</xdr:rowOff>
    </xdr:from>
    <xdr:to>
      <xdr:col>5</xdr:col>
      <xdr:colOff>642704</xdr:colOff>
      <xdr:row>6</xdr:row>
      <xdr:rowOff>191432</xdr:rowOff>
    </xdr:to>
    <xdr:cxnSp macro="">
      <xdr:nvCxnSpPr>
        <xdr:cNvPr id="2" name="Rechte verbindingslijn 13">
          <a:extLst>
            <a:ext uri="{FF2B5EF4-FFF2-40B4-BE49-F238E27FC236}">
              <a16:creationId xmlns:a16="http://schemas.microsoft.com/office/drawing/2014/main" id="{F487C2BC-08CA-4B49-98C1-2792F6B79769}"/>
            </a:ext>
          </a:extLst>
        </xdr:cNvPr>
        <xdr:cNvCxnSpPr/>
      </xdr:nvCxnSpPr>
      <xdr:spPr>
        <a:xfrm flipH="1">
          <a:off x="7046866" y="1056341"/>
          <a:ext cx="606238" cy="325716"/>
        </a:xfrm>
        <a:prstGeom prst="line">
          <a:avLst/>
        </a:prstGeom>
        <a:ln w="19050">
          <a:solidFill>
            <a:srgbClr val="FF77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9769</xdr:colOff>
      <xdr:row>30</xdr:row>
      <xdr:rowOff>39565</xdr:rowOff>
    </xdr:from>
    <xdr:to>
      <xdr:col>6</xdr:col>
      <xdr:colOff>385641</xdr:colOff>
      <xdr:row>33</xdr:row>
      <xdr:rowOff>29552</xdr:rowOff>
    </xdr:to>
    <xdr:sp macro="" textlink="">
      <xdr:nvSpPr>
        <xdr:cNvPr id="3" name="Arrow: Curved Left 2">
          <a:extLst>
            <a:ext uri="{FF2B5EF4-FFF2-40B4-BE49-F238E27FC236}">
              <a16:creationId xmlns:a16="http://schemas.microsoft.com/office/drawing/2014/main" id="{A35423DC-F1C7-4813-97C3-057D1884DB93}"/>
            </a:ext>
          </a:extLst>
        </xdr:cNvPr>
        <xdr:cNvSpPr/>
      </xdr:nvSpPr>
      <xdr:spPr>
        <a:xfrm>
          <a:off x="8953744" y="6116515"/>
          <a:ext cx="375872" cy="599587"/>
        </a:xfrm>
        <a:prstGeom prst="curvedLeftArrow">
          <a:avLst>
            <a:gd name="adj1" fmla="val 27627"/>
            <a:gd name="adj2" fmla="val 50000"/>
            <a:gd name="adj3" fmla="val 25000"/>
          </a:avLst>
        </a:prstGeom>
        <a:solidFill>
          <a:schemeClr val="accent2"/>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NL" sz="1100">
            <a:solidFill>
              <a:schemeClr val="tx1"/>
            </a:solidFill>
          </a:endParaRPr>
        </a:p>
      </xdr:txBody>
    </xdr:sp>
    <xdr:clientData/>
  </xdr:twoCellAnchor>
  <xdr:twoCellAnchor editAs="oneCell">
    <xdr:from>
      <xdr:col>7</xdr:col>
      <xdr:colOff>0</xdr:colOff>
      <xdr:row>1</xdr:row>
      <xdr:rowOff>0</xdr:rowOff>
    </xdr:from>
    <xdr:to>
      <xdr:col>8</xdr:col>
      <xdr:colOff>1274174</xdr:colOff>
      <xdr:row>7</xdr:row>
      <xdr:rowOff>55228</xdr:rowOff>
    </xdr:to>
    <xdr:pic>
      <xdr:nvPicPr>
        <xdr:cNvPr id="4" name="Picture 3">
          <a:hlinkClick xmlns:r="http://schemas.openxmlformats.org/officeDocument/2006/relationships" r:id="rId1" tooltip="Click here for more information"/>
          <a:extLst>
            <a:ext uri="{FF2B5EF4-FFF2-40B4-BE49-F238E27FC236}">
              <a16:creationId xmlns:a16="http://schemas.microsoft.com/office/drawing/2014/main" id="{2360501D-1A10-47D1-AB36-FD856DB20632}"/>
            </a:ext>
          </a:extLst>
        </xdr:cNvPr>
        <xdr:cNvPicPr>
          <a:picLocks noChangeAspect="1"/>
        </xdr:cNvPicPr>
      </xdr:nvPicPr>
      <xdr:blipFill>
        <a:blip xmlns:r="http://schemas.openxmlformats.org/officeDocument/2006/relationships" r:embed="rId2">
          <a:duotone>
            <a:prstClr val="black"/>
            <a:srgbClr val="2E3F42">
              <a:tint val="45000"/>
              <a:satMod val="400000"/>
            </a:srgbClr>
          </a:duotone>
        </a:blip>
        <a:stretch>
          <a:fillRect/>
        </a:stretch>
      </xdr:blipFill>
      <xdr:spPr>
        <a:xfrm>
          <a:off x="11029950" y="190500"/>
          <a:ext cx="1274174" cy="1264903"/>
        </a:xfrm>
        <a:prstGeom prst="rect">
          <a:avLst/>
        </a:prstGeom>
      </xdr:spPr>
    </xdr:pic>
    <xdr:clientData/>
  </xdr:twoCellAnchor>
  <xdr:twoCellAnchor>
    <xdr:from>
      <xdr:col>1</xdr:col>
      <xdr:colOff>120651</xdr:colOff>
      <xdr:row>1</xdr:row>
      <xdr:rowOff>165100</xdr:rowOff>
    </xdr:from>
    <xdr:to>
      <xdr:col>2</xdr:col>
      <xdr:colOff>2592458</xdr:colOff>
      <xdr:row>8</xdr:row>
      <xdr:rowOff>115432</xdr:rowOff>
    </xdr:to>
    <xdr:grpSp>
      <xdr:nvGrpSpPr>
        <xdr:cNvPr id="5" name="Group 4">
          <a:extLst>
            <a:ext uri="{FF2B5EF4-FFF2-40B4-BE49-F238E27FC236}">
              <a16:creationId xmlns:a16="http://schemas.microsoft.com/office/drawing/2014/main" id="{642A05D3-8F4C-40FF-A757-18BB30D12BF1}"/>
            </a:ext>
          </a:extLst>
        </xdr:cNvPr>
        <xdr:cNvGrpSpPr/>
      </xdr:nvGrpSpPr>
      <xdr:grpSpPr>
        <a:xfrm>
          <a:off x="737871" y="355600"/>
          <a:ext cx="2929007" cy="1321932"/>
          <a:chOff x="4913923" y="381000"/>
          <a:chExt cx="2831147" cy="1372732"/>
        </a:xfrm>
      </xdr:grpSpPr>
      <xdr:sp macro="" textlink="">
        <xdr:nvSpPr>
          <xdr:cNvPr id="6" name="Freeform: Shape 5">
            <a:extLst>
              <a:ext uri="{FF2B5EF4-FFF2-40B4-BE49-F238E27FC236}">
                <a16:creationId xmlns:a16="http://schemas.microsoft.com/office/drawing/2014/main" id="{8574080C-418D-8228-7529-23B3EC22402B}"/>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7" name="Freeform: Shape 6">
            <a:extLst>
              <a:ext uri="{FF2B5EF4-FFF2-40B4-BE49-F238E27FC236}">
                <a16:creationId xmlns:a16="http://schemas.microsoft.com/office/drawing/2014/main" id="{9FA81DD1-7319-BA07-E277-A1246D0A9517}"/>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36466</xdr:colOff>
      <xdr:row>5</xdr:row>
      <xdr:rowOff>65741</xdr:rowOff>
    </xdr:from>
    <xdr:to>
      <xdr:col>5</xdr:col>
      <xdr:colOff>642704</xdr:colOff>
      <xdr:row>6</xdr:row>
      <xdr:rowOff>191432</xdr:rowOff>
    </xdr:to>
    <xdr:cxnSp macro="">
      <xdr:nvCxnSpPr>
        <xdr:cNvPr id="2" name="Rechte verbindingslijn 13">
          <a:extLst>
            <a:ext uri="{FF2B5EF4-FFF2-40B4-BE49-F238E27FC236}">
              <a16:creationId xmlns:a16="http://schemas.microsoft.com/office/drawing/2014/main" id="{DCB95F7A-B6DD-45CE-94E2-3497B6758AE6}"/>
            </a:ext>
          </a:extLst>
        </xdr:cNvPr>
        <xdr:cNvCxnSpPr/>
      </xdr:nvCxnSpPr>
      <xdr:spPr>
        <a:xfrm flipH="1">
          <a:off x="7046866" y="1056341"/>
          <a:ext cx="606238" cy="325716"/>
        </a:xfrm>
        <a:prstGeom prst="line">
          <a:avLst/>
        </a:prstGeom>
        <a:ln w="19050">
          <a:solidFill>
            <a:srgbClr val="FF77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9769</xdr:colOff>
      <xdr:row>30</xdr:row>
      <xdr:rowOff>39565</xdr:rowOff>
    </xdr:from>
    <xdr:to>
      <xdr:col>6</xdr:col>
      <xdr:colOff>385641</xdr:colOff>
      <xdr:row>33</xdr:row>
      <xdr:rowOff>29552</xdr:rowOff>
    </xdr:to>
    <xdr:sp macro="" textlink="">
      <xdr:nvSpPr>
        <xdr:cNvPr id="3" name="Arrow: Curved Left 2">
          <a:extLst>
            <a:ext uri="{FF2B5EF4-FFF2-40B4-BE49-F238E27FC236}">
              <a16:creationId xmlns:a16="http://schemas.microsoft.com/office/drawing/2014/main" id="{C18D79D9-83EC-4B71-84EA-B75154EE0A4E}"/>
            </a:ext>
          </a:extLst>
        </xdr:cNvPr>
        <xdr:cNvSpPr/>
      </xdr:nvSpPr>
      <xdr:spPr>
        <a:xfrm>
          <a:off x="8953744" y="6116515"/>
          <a:ext cx="375872" cy="599587"/>
        </a:xfrm>
        <a:prstGeom prst="curvedLeftArrow">
          <a:avLst>
            <a:gd name="adj1" fmla="val 27627"/>
            <a:gd name="adj2" fmla="val 50000"/>
            <a:gd name="adj3" fmla="val 25000"/>
          </a:avLst>
        </a:prstGeom>
        <a:solidFill>
          <a:schemeClr val="accent2"/>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NL" sz="1100">
            <a:solidFill>
              <a:schemeClr val="tx1"/>
            </a:solidFill>
          </a:endParaRPr>
        </a:p>
      </xdr:txBody>
    </xdr:sp>
    <xdr:clientData/>
  </xdr:twoCellAnchor>
  <xdr:twoCellAnchor editAs="oneCell">
    <xdr:from>
      <xdr:col>7</xdr:col>
      <xdr:colOff>0</xdr:colOff>
      <xdr:row>1</xdr:row>
      <xdr:rowOff>0</xdr:rowOff>
    </xdr:from>
    <xdr:to>
      <xdr:col>8</xdr:col>
      <xdr:colOff>1274174</xdr:colOff>
      <xdr:row>7</xdr:row>
      <xdr:rowOff>55228</xdr:rowOff>
    </xdr:to>
    <xdr:pic>
      <xdr:nvPicPr>
        <xdr:cNvPr id="4" name="Picture 3">
          <a:hlinkClick xmlns:r="http://schemas.openxmlformats.org/officeDocument/2006/relationships" r:id="rId1" tooltip="Click here for more information"/>
          <a:extLst>
            <a:ext uri="{FF2B5EF4-FFF2-40B4-BE49-F238E27FC236}">
              <a16:creationId xmlns:a16="http://schemas.microsoft.com/office/drawing/2014/main" id="{D3964A6C-5025-475E-B668-75DB9EBF4766}"/>
            </a:ext>
          </a:extLst>
        </xdr:cNvPr>
        <xdr:cNvPicPr>
          <a:picLocks noChangeAspect="1"/>
        </xdr:cNvPicPr>
      </xdr:nvPicPr>
      <xdr:blipFill>
        <a:blip xmlns:r="http://schemas.openxmlformats.org/officeDocument/2006/relationships" r:embed="rId2">
          <a:duotone>
            <a:prstClr val="black"/>
            <a:srgbClr val="2E3F42">
              <a:tint val="45000"/>
              <a:satMod val="400000"/>
            </a:srgbClr>
          </a:duotone>
        </a:blip>
        <a:stretch>
          <a:fillRect/>
        </a:stretch>
      </xdr:blipFill>
      <xdr:spPr>
        <a:xfrm>
          <a:off x="11029950" y="190500"/>
          <a:ext cx="1274174" cy="1264903"/>
        </a:xfrm>
        <a:prstGeom prst="rect">
          <a:avLst/>
        </a:prstGeom>
      </xdr:spPr>
    </xdr:pic>
    <xdr:clientData/>
  </xdr:twoCellAnchor>
  <xdr:twoCellAnchor>
    <xdr:from>
      <xdr:col>1</xdr:col>
      <xdr:colOff>120651</xdr:colOff>
      <xdr:row>1</xdr:row>
      <xdr:rowOff>165100</xdr:rowOff>
    </xdr:from>
    <xdr:to>
      <xdr:col>2</xdr:col>
      <xdr:colOff>2592458</xdr:colOff>
      <xdr:row>8</xdr:row>
      <xdr:rowOff>115432</xdr:rowOff>
    </xdr:to>
    <xdr:grpSp>
      <xdr:nvGrpSpPr>
        <xdr:cNvPr id="5" name="Group 4">
          <a:extLst>
            <a:ext uri="{FF2B5EF4-FFF2-40B4-BE49-F238E27FC236}">
              <a16:creationId xmlns:a16="http://schemas.microsoft.com/office/drawing/2014/main" id="{6B4807FB-6C45-41E5-890E-A9952D1A5EF4}"/>
            </a:ext>
          </a:extLst>
        </xdr:cNvPr>
        <xdr:cNvGrpSpPr/>
      </xdr:nvGrpSpPr>
      <xdr:grpSpPr>
        <a:xfrm>
          <a:off x="737871" y="355600"/>
          <a:ext cx="2929007" cy="1321932"/>
          <a:chOff x="4913923" y="381000"/>
          <a:chExt cx="2831147" cy="1372732"/>
        </a:xfrm>
      </xdr:grpSpPr>
      <xdr:sp macro="" textlink="">
        <xdr:nvSpPr>
          <xdr:cNvPr id="6" name="Freeform: Shape 5">
            <a:extLst>
              <a:ext uri="{FF2B5EF4-FFF2-40B4-BE49-F238E27FC236}">
                <a16:creationId xmlns:a16="http://schemas.microsoft.com/office/drawing/2014/main" id="{1EF4A8CA-ADA8-CCA2-9791-BC29021670C1}"/>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7" name="Freeform: Shape 6">
            <a:extLst>
              <a:ext uri="{FF2B5EF4-FFF2-40B4-BE49-F238E27FC236}">
                <a16:creationId xmlns:a16="http://schemas.microsoft.com/office/drawing/2014/main" id="{CA03CEDF-DDE8-3E79-7FED-EC36D7CE85E1}"/>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30</xdr:row>
      <xdr:rowOff>38100</xdr:rowOff>
    </xdr:from>
    <xdr:to>
      <xdr:col>6</xdr:col>
      <xdr:colOff>375872</xdr:colOff>
      <xdr:row>33</xdr:row>
      <xdr:rowOff>28820</xdr:rowOff>
    </xdr:to>
    <xdr:sp macro="" textlink="">
      <xdr:nvSpPr>
        <xdr:cNvPr id="6" name="Arrow: Curved Left 5">
          <a:extLst>
            <a:ext uri="{FF2B5EF4-FFF2-40B4-BE49-F238E27FC236}">
              <a16:creationId xmlns:a16="http://schemas.microsoft.com/office/drawing/2014/main" id="{3AE67BCD-586E-47D3-B22A-5B999C7015FB}"/>
            </a:ext>
          </a:extLst>
        </xdr:cNvPr>
        <xdr:cNvSpPr/>
      </xdr:nvSpPr>
      <xdr:spPr>
        <a:xfrm>
          <a:off x="8105775" y="6115050"/>
          <a:ext cx="375872" cy="600320"/>
        </a:xfrm>
        <a:prstGeom prst="curvedLeftArrow">
          <a:avLst>
            <a:gd name="adj1" fmla="val 27627"/>
            <a:gd name="adj2" fmla="val 50000"/>
            <a:gd name="adj3" fmla="val 25000"/>
          </a:avLst>
        </a:prstGeom>
        <a:solidFill>
          <a:schemeClr val="accent2"/>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NL" sz="1100">
            <a:solidFill>
              <a:schemeClr val="tx1"/>
            </a:solidFill>
          </a:endParaRPr>
        </a:p>
      </xdr:txBody>
    </xdr:sp>
    <xdr:clientData/>
  </xdr:twoCellAnchor>
  <xdr:twoCellAnchor editAs="oneCell">
    <xdr:from>
      <xdr:col>7</xdr:col>
      <xdr:colOff>0</xdr:colOff>
      <xdr:row>1</xdr:row>
      <xdr:rowOff>0</xdr:rowOff>
    </xdr:from>
    <xdr:to>
      <xdr:col>8</xdr:col>
      <xdr:colOff>1274174</xdr:colOff>
      <xdr:row>7</xdr:row>
      <xdr:rowOff>55228</xdr:rowOff>
    </xdr:to>
    <xdr:pic>
      <xdr:nvPicPr>
        <xdr:cNvPr id="2" name="Picture 1">
          <a:hlinkClick xmlns:r="http://schemas.openxmlformats.org/officeDocument/2006/relationships" r:id="rId1" tooltip="Click here for more information"/>
          <a:extLst>
            <a:ext uri="{FF2B5EF4-FFF2-40B4-BE49-F238E27FC236}">
              <a16:creationId xmlns:a16="http://schemas.microsoft.com/office/drawing/2014/main" id="{09EBC74C-11DB-6EE3-68F5-097D35C389C4}"/>
            </a:ext>
          </a:extLst>
        </xdr:cNvPr>
        <xdr:cNvPicPr>
          <a:picLocks noChangeAspect="1"/>
        </xdr:cNvPicPr>
      </xdr:nvPicPr>
      <xdr:blipFill>
        <a:blip xmlns:r="http://schemas.openxmlformats.org/officeDocument/2006/relationships" r:embed="rId2">
          <a:duotone>
            <a:prstClr val="black"/>
            <a:srgbClr val="2E3F42">
              <a:tint val="45000"/>
              <a:satMod val="400000"/>
            </a:srgbClr>
          </a:duotone>
        </a:blip>
        <a:stretch>
          <a:fillRect/>
        </a:stretch>
      </xdr:blipFill>
      <xdr:spPr>
        <a:xfrm>
          <a:off x="10198100" y="190500"/>
          <a:ext cx="1274174" cy="1268078"/>
        </a:xfrm>
        <a:prstGeom prst="rect">
          <a:avLst/>
        </a:prstGeom>
      </xdr:spPr>
    </xdr:pic>
    <xdr:clientData/>
  </xdr:twoCellAnchor>
  <xdr:twoCellAnchor>
    <xdr:from>
      <xdr:col>1</xdr:col>
      <xdr:colOff>121341</xdr:colOff>
      <xdr:row>1</xdr:row>
      <xdr:rowOff>168275</xdr:rowOff>
    </xdr:from>
    <xdr:to>
      <xdr:col>3</xdr:col>
      <xdr:colOff>1701538</xdr:colOff>
      <xdr:row>8</xdr:row>
      <xdr:rowOff>118607</xdr:rowOff>
    </xdr:to>
    <xdr:grpSp>
      <xdr:nvGrpSpPr>
        <xdr:cNvPr id="3" name="Group 2">
          <a:extLst>
            <a:ext uri="{FF2B5EF4-FFF2-40B4-BE49-F238E27FC236}">
              <a16:creationId xmlns:a16="http://schemas.microsoft.com/office/drawing/2014/main" id="{9EAFB801-C704-46F1-9A6F-AF365A9B1B27}"/>
            </a:ext>
          </a:extLst>
        </xdr:cNvPr>
        <xdr:cNvGrpSpPr/>
      </xdr:nvGrpSpPr>
      <xdr:grpSpPr>
        <a:xfrm>
          <a:off x="737567" y="360432"/>
          <a:ext cx="2935232" cy="1328558"/>
          <a:chOff x="4913923" y="381000"/>
          <a:chExt cx="2831147" cy="1372732"/>
        </a:xfrm>
      </xdr:grpSpPr>
      <xdr:sp macro="" textlink="">
        <xdr:nvSpPr>
          <xdr:cNvPr id="4" name="Freeform: Shape 3">
            <a:extLst>
              <a:ext uri="{FF2B5EF4-FFF2-40B4-BE49-F238E27FC236}">
                <a16:creationId xmlns:a16="http://schemas.microsoft.com/office/drawing/2014/main" id="{2B157B5C-8D82-7D86-9957-DE4F2805443F}"/>
              </a:ext>
            </a:extLst>
          </xdr:cNvPr>
          <xdr:cNvSpPr/>
        </xdr:nvSpPr>
        <xdr:spPr>
          <a:xfrm>
            <a:off x="5350399" y="1056193"/>
            <a:ext cx="2394671" cy="338368"/>
          </a:xfrm>
          <a:custGeom>
            <a:avLst/>
            <a:gdLst>
              <a:gd name="connsiteX0" fmla="*/ 0 w 1227446"/>
              <a:gd name="connsiteY0" fmla="*/ 139606 h 175066"/>
              <a:gd name="connsiteX1" fmla="*/ 33222 w 1227446"/>
              <a:gd name="connsiteY1" fmla="*/ 139606 h 175066"/>
              <a:gd name="connsiteX2" fmla="*/ 47966 w 1227446"/>
              <a:gd name="connsiteY2" fmla="*/ 114036 h 175066"/>
              <a:gd name="connsiteX3" fmla="*/ 96305 w 1227446"/>
              <a:gd name="connsiteY3" fmla="*/ 114036 h 175066"/>
              <a:gd name="connsiteX4" fmla="*/ 96305 w 1227446"/>
              <a:gd name="connsiteY4" fmla="*/ 139606 h 175066"/>
              <a:gd name="connsiteX5" fmla="*/ 129714 w 1227446"/>
              <a:gd name="connsiteY5" fmla="*/ 139606 h 175066"/>
              <a:gd name="connsiteX6" fmla="*/ 129714 w 1227446"/>
              <a:gd name="connsiteY6" fmla="*/ 7466 h 175066"/>
              <a:gd name="connsiteX7" fmla="*/ 77455 w 1227446"/>
              <a:gd name="connsiteY7" fmla="*/ 7466 h 175066"/>
              <a:gd name="connsiteX8" fmla="*/ 0 w 1227446"/>
              <a:gd name="connsiteY8" fmla="*/ 139606 h 175066"/>
              <a:gd name="connsiteX9" fmla="*/ 96305 w 1227446"/>
              <a:gd name="connsiteY9" fmla="*/ 32102 h 175066"/>
              <a:gd name="connsiteX10" fmla="*/ 96305 w 1227446"/>
              <a:gd name="connsiteY10" fmla="*/ 89027 h 175066"/>
              <a:gd name="connsiteX11" fmla="*/ 62524 w 1227446"/>
              <a:gd name="connsiteY11" fmla="*/ 89027 h 175066"/>
              <a:gd name="connsiteX12" fmla="*/ 95559 w 1227446"/>
              <a:gd name="connsiteY12" fmla="*/ 32102 h 175066"/>
              <a:gd name="connsiteX13" fmla="*/ 96305 w 1227446"/>
              <a:gd name="connsiteY13" fmla="*/ 32102 h 175066"/>
              <a:gd name="connsiteX14" fmla="*/ 250469 w 1227446"/>
              <a:gd name="connsiteY14" fmla="*/ 7466 h 175066"/>
              <a:gd name="connsiteX15" fmla="*/ 307020 w 1227446"/>
              <a:gd name="connsiteY15" fmla="*/ 7466 h 175066"/>
              <a:gd name="connsiteX16" fmla="*/ 307020 w 1227446"/>
              <a:gd name="connsiteY16" fmla="*/ 139606 h 175066"/>
              <a:gd name="connsiteX17" fmla="*/ 274545 w 1227446"/>
              <a:gd name="connsiteY17" fmla="*/ 139606 h 175066"/>
              <a:gd name="connsiteX18" fmla="*/ 274545 w 1227446"/>
              <a:gd name="connsiteY18" fmla="*/ 33222 h 175066"/>
              <a:gd name="connsiteX19" fmla="*/ 273425 w 1227446"/>
              <a:gd name="connsiteY19" fmla="*/ 33222 h 175066"/>
              <a:gd name="connsiteX20" fmla="*/ 243750 w 1227446"/>
              <a:gd name="connsiteY20" fmla="*/ 139606 h 175066"/>
              <a:gd name="connsiteX21" fmla="*/ 211275 w 1227446"/>
              <a:gd name="connsiteY21" fmla="*/ 139606 h 175066"/>
              <a:gd name="connsiteX22" fmla="*/ 181599 w 1227446"/>
              <a:gd name="connsiteY22" fmla="*/ 33222 h 175066"/>
              <a:gd name="connsiteX23" fmla="*/ 180479 w 1227446"/>
              <a:gd name="connsiteY23" fmla="*/ 33222 h 175066"/>
              <a:gd name="connsiteX24" fmla="*/ 180479 w 1227446"/>
              <a:gd name="connsiteY24" fmla="*/ 139606 h 175066"/>
              <a:gd name="connsiteX25" fmla="*/ 150244 w 1227446"/>
              <a:gd name="connsiteY25" fmla="*/ 139606 h 175066"/>
              <a:gd name="connsiteX26" fmla="*/ 150244 w 1227446"/>
              <a:gd name="connsiteY26" fmla="*/ 7466 h 175066"/>
              <a:gd name="connsiteX27" fmla="*/ 205676 w 1227446"/>
              <a:gd name="connsiteY27" fmla="*/ 7466 h 175066"/>
              <a:gd name="connsiteX28" fmla="*/ 223220 w 1227446"/>
              <a:gd name="connsiteY28" fmla="*/ 80068 h 175066"/>
              <a:gd name="connsiteX29" fmla="*/ 225739 w 1227446"/>
              <a:gd name="connsiteY29" fmla="*/ 92013 h 175066"/>
              <a:gd name="connsiteX30" fmla="*/ 227512 w 1227446"/>
              <a:gd name="connsiteY30" fmla="*/ 103211 h 175066"/>
              <a:gd name="connsiteX31" fmla="*/ 228445 w 1227446"/>
              <a:gd name="connsiteY31" fmla="*/ 103211 h 175066"/>
              <a:gd name="connsiteX32" fmla="*/ 230219 w 1227446"/>
              <a:gd name="connsiteY32" fmla="*/ 92013 h 175066"/>
              <a:gd name="connsiteX33" fmla="*/ 232738 w 1227446"/>
              <a:gd name="connsiteY33" fmla="*/ 80068 h 175066"/>
              <a:gd name="connsiteX34" fmla="*/ 250469 w 1227446"/>
              <a:gd name="connsiteY34" fmla="*/ 7466 h 175066"/>
              <a:gd name="connsiteX35" fmla="*/ 354800 w 1227446"/>
              <a:gd name="connsiteY35" fmla="*/ 42554 h 175066"/>
              <a:gd name="connsiteX36" fmla="*/ 357506 w 1227446"/>
              <a:gd name="connsiteY36" fmla="*/ 49553 h 175066"/>
              <a:gd name="connsiteX37" fmla="*/ 366091 w 1227446"/>
              <a:gd name="connsiteY37" fmla="*/ 54592 h 175066"/>
              <a:gd name="connsiteX38" fmla="*/ 381302 w 1227446"/>
              <a:gd name="connsiteY38" fmla="*/ 59164 h 175066"/>
              <a:gd name="connsiteX39" fmla="*/ 407712 w 1227446"/>
              <a:gd name="connsiteY39" fmla="*/ 68776 h 175066"/>
              <a:gd name="connsiteX40" fmla="*/ 421430 w 1227446"/>
              <a:gd name="connsiteY40" fmla="*/ 81748 h 175066"/>
              <a:gd name="connsiteX41" fmla="*/ 425536 w 1227446"/>
              <a:gd name="connsiteY41" fmla="*/ 99292 h 175066"/>
              <a:gd name="connsiteX42" fmla="*/ 418630 w 1227446"/>
              <a:gd name="connsiteY42" fmla="*/ 121222 h 175066"/>
              <a:gd name="connsiteX43" fmla="*/ 399313 w 1227446"/>
              <a:gd name="connsiteY43" fmla="*/ 136339 h 175066"/>
              <a:gd name="connsiteX44" fmla="*/ 370291 w 1227446"/>
              <a:gd name="connsiteY44" fmla="*/ 141845 h 175066"/>
              <a:gd name="connsiteX45" fmla="*/ 345375 w 1227446"/>
              <a:gd name="connsiteY45" fmla="*/ 138299 h 175066"/>
              <a:gd name="connsiteX46" fmla="*/ 327364 w 1227446"/>
              <a:gd name="connsiteY46" fmla="*/ 128034 h 175066"/>
              <a:gd name="connsiteX47" fmla="*/ 317472 w 1227446"/>
              <a:gd name="connsiteY47" fmla="*/ 111796 h 175066"/>
              <a:gd name="connsiteX48" fmla="*/ 346401 w 1227446"/>
              <a:gd name="connsiteY48" fmla="*/ 100412 h 175066"/>
              <a:gd name="connsiteX49" fmla="*/ 354986 w 1227446"/>
              <a:gd name="connsiteY49" fmla="*/ 112543 h 175066"/>
              <a:gd name="connsiteX50" fmla="*/ 370477 w 1227446"/>
              <a:gd name="connsiteY50" fmla="*/ 117209 h 175066"/>
              <a:gd name="connsiteX51" fmla="*/ 385875 w 1227446"/>
              <a:gd name="connsiteY51" fmla="*/ 113103 h 175066"/>
              <a:gd name="connsiteX52" fmla="*/ 391381 w 1227446"/>
              <a:gd name="connsiteY52" fmla="*/ 102651 h 175066"/>
              <a:gd name="connsiteX53" fmla="*/ 385129 w 1227446"/>
              <a:gd name="connsiteY53" fmla="*/ 92759 h 175066"/>
              <a:gd name="connsiteX54" fmla="*/ 364878 w 1227446"/>
              <a:gd name="connsiteY54" fmla="*/ 85667 h 175066"/>
              <a:gd name="connsiteX55" fmla="*/ 338562 w 1227446"/>
              <a:gd name="connsiteY55" fmla="*/ 75962 h 175066"/>
              <a:gd name="connsiteX56" fmla="*/ 324751 w 1227446"/>
              <a:gd name="connsiteY56" fmla="*/ 63084 h 175066"/>
              <a:gd name="connsiteX57" fmla="*/ 320645 w 1227446"/>
              <a:gd name="connsiteY57" fmla="*/ 45540 h 175066"/>
              <a:gd name="connsiteX58" fmla="*/ 334829 w 1227446"/>
              <a:gd name="connsiteY58" fmla="*/ 16144 h 175066"/>
              <a:gd name="connsiteX59" fmla="*/ 374210 w 1227446"/>
              <a:gd name="connsiteY59" fmla="*/ 5226 h 175066"/>
              <a:gd name="connsiteX60" fmla="*/ 407898 w 1227446"/>
              <a:gd name="connsiteY60" fmla="*/ 12878 h 175066"/>
              <a:gd name="connsiteX61" fmla="*/ 426096 w 1227446"/>
              <a:gd name="connsiteY61" fmla="*/ 35461 h 175066"/>
              <a:gd name="connsiteX62" fmla="*/ 396980 w 1227446"/>
              <a:gd name="connsiteY62" fmla="*/ 46473 h 175066"/>
              <a:gd name="connsiteX63" fmla="*/ 388301 w 1227446"/>
              <a:gd name="connsiteY63" fmla="*/ 34435 h 175066"/>
              <a:gd name="connsiteX64" fmla="*/ 373837 w 1227446"/>
              <a:gd name="connsiteY64" fmla="*/ 29862 h 175066"/>
              <a:gd name="connsiteX65" fmla="*/ 359932 w 1227446"/>
              <a:gd name="connsiteY65" fmla="*/ 33408 h 175066"/>
              <a:gd name="connsiteX66" fmla="*/ 354800 w 1227446"/>
              <a:gd name="connsiteY66" fmla="*/ 42554 h 175066"/>
              <a:gd name="connsiteX67" fmla="*/ 528877 w 1227446"/>
              <a:gd name="connsiteY67" fmla="*/ 41434 h 175066"/>
              <a:gd name="connsiteX68" fmla="*/ 531864 w 1227446"/>
              <a:gd name="connsiteY68" fmla="*/ 50299 h 175066"/>
              <a:gd name="connsiteX69" fmla="*/ 541289 w 1227446"/>
              <a:gd name="connsiteY69" fmla="*/ 56645 h 175066"/>
              <a:gd name="connsiteX70" fmla="*/ 557806 w 1227446"/>
              <a:gd name="connsiteY70" fmla="*/ 62337 h 175066"/>
              <a:gd name="connsiteX71" fmla="*/ 581230 w 1227446"/>
              <a:gd name="connsiteY71" fmla="*/ 71762 h 175066"/>
              <a:gd name="connsiteX72" fmla="*/ 594668 w 1227446"/>
              <a:gd name="connsiteY72" fmla="*/ 84361 h 175066"/>
              <a:gd name="connsiteX73" fmla="*/ 599054 w 1227446"/>
              <a:gd name="connsiteY73" fmla="*/ 101718 h 175066"/>
              <a:gd name="connsiteX74" fmla="*/ 592615 w 1227446"/>
              <a:gd name="connsiteY74" fmla="*/ 122528 h 175066"/>
              <a:gd name="connsiteX75" fmla="*/ 574697 w 1227446"/>
              <a:gd name="connsiteY75" fmla="*/ 136713 h 175066"/>
              <a:gd name="connsiteX76" fmla="*/ 547915 w 1227446"/>
              <a:gd name="connsiteY76" fmla="*/ 141845 h 175066"/>
              <a:gd name="connsiteX77" fmla="*/ 525425 w 1227446"/>
              <a:gd name="connsiteY77" fmla="*/ 138392 h 175066"/>
              <a:gd name="connsiteX78" fmla="*/ 508254 w 1227446"/>
              <a:gd name="connsiteY78" fmla="*/ 128501 h 175066"/>
              <a:gd name="connsiteX79" fmla="*/ 498082 w 1227446"/>
              <a:gd name="connsiteY79" fmla="*/ 113103 h 175066"/>
              <a:gd name="connsiteX80" fmla="*/ 520852 w 1227446"/>
              <a:gd name="connsiteY80" fmla="*/ 103211 h 175066"/>
              <a:gd name="connsiteX81" fmla="*/ 530931 w 1227446"/>
              <a:gd name="connsiteY81" fmla="*/ 116462 h 175066"/>
              <a:gd name="connsiteX82" fmla="*/ 548288 w 1227446"/>
              <a:gd name="connsiteY82" fmla="*/ 121502 h 175066"/>
              <a:gd name="connsiteX83" fmla="*/ 565645 w 1227446"/>
              <a:gd name="connsiteY83" fmla="*/ 116742 h 175066"/>
              <a:gd name="connsiteX84" fmla="*/ 571991 w 1227446"/>
              <a:gd name="connsiteY84" fmla="*/ 103958 h 175066"/>
              <a:gd name="connsiteX85" fmla="*/ 565179 w 1227446"/>
              <a:gd name="connsiteY85" fmla="*/ 91639 h 175066"/>
              <a:gd name="connsiteX86" fmla="*/ 543249 w 1227446"/>
              <a:gd name="connsiteY86" fmla="*/ 82867 h 175066"/>
              <a:gd name="connsiteX87" fmla="*/ 519732 w 1227446"/>
              <a:gd name="connsiteY87" fmla="*/ 73349 h 175066"/>
              <a:gd name="connsiteX88" fmla="*/ 506294 w 1227446"/>
              <a:gd name="connsiteY88" fmla="*/ 60751 h 175066"/>
              <a:gd name="connsiteX89" fmla="*/ 502002 w 1227446"/>
              <a:gd name="connsiteY89" fmla="*/ 43300 h 175066"/>
              <a:gd name="connsiteX90" fmla="*/ 515253 w 1227446"/>
              <a:gd name="connsiteY90" fmla="*/ 15584 h 175066"/>
              <a:gd name="connsiteX91" fmla="*/ 551461 w 1227446"/>
              <a:gd name="connsiteY91" fmla="*/ 5226 h 175066"/>
              <a:gd name="connsiteX92" fmla="*/ 582256 w 1227446"/>
              <a:gd name="connsiteY92" fmla="*/ 12598 h 175066"/>
              <a:gd name="connsiteX93" fmla="*/ 600173 w 1227446"/>
              <a:gd name="connsiteY93" fmla="*/ 33968 h 175066"/>
              <a:gd name="connsiteX94" fmla="*/ 577403 w 1227446"/>
              <a:gd name="connsiteY94" fmla="*/ 43673 h 175066"/>
              <a:gd name="connsiteX95" fmla="*/ 567232 w 1227446"/>
              <a:gd name="connsiteY95" fmla="*/ 30422 h 175066"/>
              <a:gd name="connsiteX96" fmla="*/ 551087 w 1227446"/>
              <a:gd name="connsiteY96" fmla="*/ 25569 h 175066"/>
              <a:gd name="connsiteX97" fmla="*/ 534850 w 1227446"/>
              <a:gd name="connsiteY97" fmla="*/ 29862 h 175066"/>
              <a:gd name="connsiteX98" fmla="*/ 528877 w 1227446"/>
              <a:gd name="connsiteY98" fmla="*/ 41434 h 175066"/>
              <a:gd name="connsiteX99" fmla="*/ 677255 w 1227446"/>
              <a:gd name="connsiteY99" fmla="*/ 110303 h 175066"/>
              <a:gd name="connsiteX100" fmla="*/ 697599 w 1227446"/>
              <a:gd name="connsiteY100" fmla="*/ 117956 h 175066"/>
              <a:gd name="connsiteX101" fmla="*/ 683321 w 1227446"/>
              <a:gd name="connsiteY101" fmla="*/ 135500 h 175066"/>
              <a:gd name="connsiteX102" fmla="*/ 658591 w 1227446"/>
              <a:gd name="connsiteY102" fmla="*/ 141845 h 175066"/>
              <a:gd name="connsiteX103" fmla="*/ 633115 w 1227446"/>
              <a:gd name="connsiteY103" fmla="*/ 135686 h 175066"/>
              <a:gd name="connsiteX104" fmla="*/ 616411 w 1227446"/>
              <a:gd name="connsiteY104" fmla="*/ 118235 h 175066"/>
              <a:gd name="connsiteX105" fmla="*/ 610439 w 1227446"/>
              <a:gd name="connsiteY105" fmla="*/ 91453 h 175066"/>
              <a:gd name="connsiteX106" fmla="*/ 616318 w 1227446"/>
              <a:gd name="connsiteY106" fmla="*/ 64950 h 175066"/>
              <a:gd name="connsiteX107" fmla="*/ 632835 w 1227446"/>
              <a:gd name="connsiteY107" fmla="*/ 47686 h 175066"/>
              <a:gd name="connsiteX108" fmla="*/ 658031 w 1227446"/>
              <a:gd name="connsiteY108" fmla="*/ 41620 h 175066"/>
              <a:gd name="connsiteX109" fmla="*/ 682481 w 1227446"/>
              <a:gd name="connsiteY109" fmla="*/ 47686 h 175066"/>
              <a:gd name="connsiteX110" fmla="*/ 696852 w 1227446"/>
              <a:gd name="connsiteY110" fmla="*/ 65137 h 175066"/>
              <a:gd name="connsiteX111" fmla="*/ 675949 w 1227446"/>
              <a:gd name="connsiteY111" fmla="*/ 72976 h 175066"/>
              <a:gd name="connsiteX112" fmla="*/ 668856 w 1227446"/>
              <a:gd name="connsiteY112" fmla="*/ 64110 h 175066"/>
              <a:gd name="connsiteX113" fmla="*/ 658218 w 1227446"/>
              <a:gd name="connsiteY113" fmla="*/ 61031 h 175066"/>
              <a:gd name="connsiteX114" fmla="*/ 641887 w 1227446"/>
              <a:gd name="connsiteY114" fmla="*/ 68776 h 175066"/>
              <a:gd name="connsiteX115" fmla="*/ 636008 w 1227446"/>
              <a:gd name="connsiteY115" fmla="*/ 91453 h 175066"/>
              <a:gd name="connsiteX116" fmla="*/ 642074 w 1227446"/>
              <a:gd name="connsiteY116" fmla="*/ 114223 h 175066"/>
              <a:gd name="connsiteX117" fmla="*/ 658778 w 1227446"/>
              <a:gd name="connsiteY117" fmla="*/ 122248 h 175066"/>
              <a:gd name="connsiteX118" fmla="*/ 669790 w 1227446"/>
              <a:gd name="connsiteY118" fmla="*/ 119169 h 175066"/>
              <a:gd name="connsiteX119" fmla="*/ 677255 w 1227446"/>
              <a:gd name="connsiteY119" fmla="*/ 110303 h 175066"/>
              <a:gd name="connsiteX120" fmla="*/ 789518 w 1227446"/>
              <a:gd name="connsiteY120" fmla="*/ 50952 h 175066"/>
              <a:gd name="connsiteX121" fmla="*/ 798010 w 1227446"/>
              <a:gd name="connsiteY121" fmla="*/ 77455 h 175066"/>
              <a:gd name="connsiteX122" fmla="*/ 798010 w 1227446"/>
              <a:gd name="connsiteY122" fmla="*/ 139606 h 175066"/>
              <a:gd name="connsiteX123" fmla="*/ 772814 w 1227446"/>
              <a:gd name="connsiteY123" fmla="*/ 139606 h 175066"/>
              <a:gd name="connsiteX124" fmla="*/ 772814 w 1227446"/>
              <a:gd name="connsiteY124" fmla="*/ 80441 h 175066"/>
              <a:gd name="connsiteX125" fmla="*/ 768615 w 1227446"/>
              <a:gd name="connsiteY125" fmla="*/ 66910 h 175066"/>
              <a:gd name="connsiteX126" fmla="*/ 755457 w 1227446"/>
              <a:gd name="connsiteY126" fmla="*/ 62524 h 175066"/>
              <a:gd name="connsiteX127" fmla="*/ 745565 w 1227446"/>
              <a:gd name="connsiteY127" fmla="*/ 64764 h 175066"/>
              <a:gd name="connsiteX128" fmla="*/ 738379 w 1227446"/>
              <a:gd name="connsiteY128" fmla="*/ 70923 h 175066"/>
              <a:gd name="connsiteX129" fmla="*/ 735673 w 1227446"/>
              <a:gd name="connsiteY129" fmla="*/ 79881 h 175066"/>
              <a:gd name="connsiteX130" fmla="*/ 735673 w 1227446"/>
              <a:gd name="connsiteY130" fmla="*/ 139606 h 175066"/>
              <a:gd name="connsiteX131" fmla="*/ 710477 w 1227446"/>
              <a:gd name="connsiteY131" fmla="*/ 139606 h 175066"/>
              <a:gd name="connsiteX132" fmla="*/ 710477 w 1227446"/>
              <a:gd name="connsiteY132" fmla="*/ 0 h 175066"/>
              <a:gd name="connsiteX133" fmla="*/ 735673 w 1227446"/>
              <a:gd name="connsiteY133" fmla="*/ 0 h 175066"/>
              <a:gd name="connsiteX134" fmla="*/ 735673 w 1227446"/>
              <a:gd name="connsiteY134" fmla="*/ 55432 h 175066"/>
              <a:gd name="connsiteX135" fmla="*/ 736606 w 1227446"/>
              <a:gd name="connsiteY135" fmla="*/ 55432 h 175066"/>
              <a:gd name="connsiteX136" fmla="*/ 747711 w 1227446"/>
              <a:gd name="connsiteY136" fmla="*/ 45260 h 175066"/>
              <a:gd name="connsiteX137" fmla="*/ 764789 w 1227446"/>
              <a:gd name="connsiteY137" fmla="*/ 41620 h 175066"/>
              <a:gd name="connsiteX138" fmla="*/ 789518 w 1227446"/>
              <a:gd name="connsiteY138" fmla="*/ 50952 h 175066"/>
              <a:gd name="connsiteX139" fmla="*/ 844185 w 1227446"/>
              <a:gd name="connsiteY139" fmla="*/ 6812 h 175066"/>
              <a:gd name="connsiteX140" fmla="*/ 848384 w 1227446"/>
              <a:gd name="connsiteY140" fmla="*/ 17171 h 175066"/>
              <a:gd name="connsiteX141" fmla="*/ 844185 w 1227446"/>
              <a:gd name="connsiteY141" fmla="*/ 27529 h 175066"/>
              <a:gd name="connsiteX142" fmla="*/ 833639 w 1227446"/>
              <a:gd name="connsiteY142" fmla="*/ 31915 h 175066"/>
              <a:gd name="connsiteX143" fmla="*/ 822908 w 1227446"/>
              <a:gd name="connsiteY143" fmla="*/ 27529 h 175066"/>
              <a:gd name="connsiteX144" fmla="*/ 818708 w 1227446"/>
              <a:gd name="connsiteY144" fmla="*/ 17171 h 175066"/>
              <a:gd name="connsiteX145" fmla="*/ 822908 w 1227446"/>
              <a:gd name="connsiteY145" fmla="*/ 6812 h 175066"/>
              <a:gd name="connsiteX146" fmla="*/ 833639 w 1227446"/>
              <a:gd name="connsiteY146" fmla="*/ 2613 h 175066"/>
              <a:gd name="connsiteX147" fmla="*/ 844185 w 1227446"/>
              <a:gd name="connsiteY147" fmla="*/ 6812 h 175066"/>
              <a:gd name="connsiteX148" fmla="*/ 820948 w 1227446"/>
              <a:gd name="connsiteY148" fmla="*/ 43860 h 175066"/>
              <a:gd name="connsiteX149" fmla="*/ 846144 w 1227446"/>
              <a:gd name="connsiteY149" fmla="*/ 43860 h 175066"/>
              <a:gd name="connsiteX150" fmla="*/ 846144 w 1227446"/>
              <a:gd name="connsiteY150" fmla="*/ 139606 h 175066"/>
              <a:gd name="connsiteX151" fmla="*/ 820948 w 1227446"/>
              <a:gd name="connsiteY151" fmla="*/ 139606 h 175066"/>
              <a:gd name="connsiteX152" fmla="*/ 820948 w 1227446"/>
              <a:gd name="connsiteY152" fmla="*/ 43860 h 175066"/>
              <a:gd name="connsiteX153" fmla="*/ 945996 w 1227446"/>
              <a:gd name="connsiteY153" fmla="*/ 47966 h 175066"/>
              <a:gd name="connsiteX154" fmla="*/ 923599 w 1227446"/>
              <a:gd name="connsiteY154" fmla="*/ 41620 h 175066"/>
              <a:gd name="connsiteX155" fmla="*/ 906988 w 1227446"/>
              <a:gd name="connsiteY155" fmla="*/ 45353 h 175066"/>
              <a:gd name="connsiteX156" fmla="*/ 895977 w 1227446"/>
              <a:gd name="connsiteY156" fmla="*/ 55618 h 175066"/>
              <a:gd name="connsiteX157" fmla="*/ 895044 w 1227446"/>
              <a:gd name="connsiteY157" fmla="*/ 55618 h 175066"/>
              <a:gd name="connsiteX158" fmla="*/ 895044 w 1227446"/>
              <a:gd name="connsiteY158" fmla="*/ 43860 h 175066"/>
              <a:gd name="connsiteX159" fmla="*/ 869847 w 1227446"/>
              <a:gd name="connsiteY159" fmla="*/ 43860 h 175066"/>
              <a:gd name="connsiteX160" fmla="*/ 869847 w 1227446"/>
              <a:gd name="connsiteY160" fmla="*/ 175067 h 175066"/>
              <a:gd name="connsiteX161" fmla="*/ 895044 w 1227446"/>
              <a:gd name="connsiteY161" fmla="*/ 175067 h 175066"/>
              <a:gd name="connsiteX162" fmla="*/ 895044 w 1227446"/>
              <a:gd name="connsiteY162" fmla="*/ 128034 h 175066"/>
              <a:gd name="connsiteX163" fmla="*/ 895977 w 1227446"/>
              <a:gd name="connsiteY163" fmla="*/ 128034 h 175066"/>
              <a:gd name="connsiteX164" fmla="*/ 906988 w 1227446"/>
              <a:gd name="connsiteY164" fmla="*/ 138206 h 175066"/>
              <a:gd name="connsiteX165" fmla="*/ 923786 w 1227446"/>
              <a:gd name="connsiteY165" fmla="*/ 141845 h 175066"/>
              <a:gd name="connsiteX166" fmla="*/ 946369 w 1227446"/>
              <a:gd name="connsiteY166" fmla="*/ 135686 h 175066"/>
              <a:gd name="connsiteX167" fmla="*/ 961207 w 1227446"/>
              <a:gd name="connsiteY167" fmla="*/ 118235 h 175066"/>
              <a:gd name="connsiteX168" fmla="*/ 966526 w 1227446"/>
              <a:gd name="connsiteY168" fmla="*/ 91826 h 175066"/>
              <a:gd name="connsiteX169" fmla="*/ 961114 w 1227446"/>
              <a:gd name="connsiteY169" fmla="*/ 65510 h 175066"/>
              <a:gd name="connsiteX170" fmla="*/ 945996 w 1227446"/>
              <a:gd name="connsiteY170" fmla="*/ 47966 h 175066"/>
              <a:gd name="connsiteX171" fmla="*/ 937784 w 1227446"/>
              <a:gd name="connsiteY171" fmla="*/ 107784 h 175066"/>
              <a:gd name="connsiteX172" fmla="*/ 929478 w 1227446"/>
              <a:gd name="connsiteY172" fmla="*/ 118329 h 175066"/>
              <a:gd name="connsiteX173" fmla="*/ 916880 w 1227446"/>
              <a:gd name="connsiteY173" fmla="*/ 122062 h 175066"/>
              <a:gd name="connsiteX174" fmla="*/ 905962 w 1227446"/>
              <a:gd name="connsiteY174" fmla="*/ 119449 h 175066"/>
              <a:gd name="connsiteX175" fmla="*/ 898030 w 1227446"/>
              <a:gd name="connsiteY175" fmla="*/ 112356 h 175066"/>
              <a:gd name="connsiteX176" fmla="*/ 895044 w 1227446"/>
              <a:gd name="connsiteY176" fmla="*/ 102465 h 175066"/>
              <a:gd name="connsiteX177" fmla="*/ 895044 w 1227446"/>
              <a:gd name="connsiteY177" fmla="*/ 81001 h 175066"/>
              <a:gd name="connsiteX178" fmla="*/ 898030 w 1227446"/>
              <a:gd name="connsiteY178" fmla="*/ 70923 h 175066"/>
              <a:gd name="connsiteX179" fmla="*/ 905962 w 1227446"/>
              <a:gd name="connsiteY179" fmla="*/ 63924 h 175066"/>
              <a:gd name="connsiteX180" fmla="*/ 916880 w 1227446"/>
              <a:gd name="connsiteY180" fmla="*/ 61404 h 175066"/>
              <a:gd name="connsiteX181" fmla="*/ 934238 w 1227446"/>
              <a:gd name="connsiteY181" fmla="*/ 69523 h 175066"/>
              <a:gd name="connsiteX182" fmla="*/ 940770 w 1227446"/>
              <a:gd name="connsiteY182" fmla="*/ 91826 h 175066"/>
              <a:gd name="connsiteX183" fmla="*/ 937784 w 1227446"/>
              <a:gd name="connsiteY183" fmla="*/ 107784 h 175066"/>
              <a:gd name="connsiteX184" fmla="*/ 1062925 w 1227446"/>
              <a:gd name="connsiteY184" fmla="*/ 50952 h 175066"/>
              <a:gd name="connsiteX185" fmla="*/ 1071417 w 1227446"/>
              <a:gd name="connsiteY185" fmla="*/ 77455 h 175066"/>
              <a:gd name="connsiteX186" fmla="*/ 1071417 w 1227446"/>
              <a:gd name="connsiteY186" fmla="*/ 139606 h 175066"/>
              <a:gd name="connsiteX187" fmla="*/ 1046221 w 1227446"/>
              <a:gd name="connsiteY187" fmla="*/ 139606 h 175066"/>
              <a:gd name="connsiteX188" fmla="*/ 1046221 w 1227446"/>
              <a:gd name="connsiteY188" fmla="*/ 80441 h 175066"/>
              <a:gd name="connsiteX189" fmla="*/ 1042021 w 1227446"/>
              <a:gd name="connsiteY189" fmla="*/ 66910 h 175066"/>
              <a:gd name="connsiteX190" fmla="*/ 1028863 w 1227446"/>
              <a:gd name="connsiteY190" fmla="*/ 62524 h 175066"/>
              <a:gd name="connsiteX191" fmla="*/ 1018972 w 1227446"/>
              <a:gd name="connsiteY191" fmla="*/ 64764 h 175066"/>
              <a:gd name="connsiteX192" fmla="*/ 1011786 w 1227446"/>
              <a:gd name="connsiteY192" fmla="*/ 70923 h 175066"/>
              <a:gd name="connsiteX193" fmla="*/ 1009080 w 1227446"/>
              <a:gd name="connsiteY193" fmla="*/ 79881 h 175066"/>
              <a:gd name="connsiteX194" fmla="*/ 1009080 w 1227446"/>
              <a:gd name="connsiteY194" fmla="*/ 139606 h 175066"/>
              <a:gd name="connsiteX195" fmla="*/ 983883 w 1227446"/>
              <a:gd name="connsiteY195" fmla="*/ 139606 h 175066"/>
              <a:gd name="connsiteX196" fmla="*/ 983883 w 1227446"/>
              <a:gd name="connsiteY196" fmla="*/ 0 h 175066"/>
              <a:gd name="connsiteX197" fmla="*/ 1009080 w 1227446"/>
              <a:gd name="connsiteY197" fmla="*/ 0 h 175066"/>
              <a:gd name="connsiteX198" fmla="*/ 1009080 w 1227446"/>
              <a:gd name="connsiteY198" fmla="*/ 55432 h 175066"/>
              <a:gd name="connsiteX199" fmla="*/ 1010013 w 1227446"/>
              <a:gd name="connsiteY199" fmla="*/ 55432 h 175066"/>
              <a:gd name="connsiteX200" fmla="*/ 1021118 w 1227446"/>
              <a:gd name="connsiteY200" fmla="*/ 45260 h 175066"/>
              <a:gd name="connsiteX201" fmla="*/ 1038195 w 1227446"/>
              <a:gd name="connsiteY201" fmla="*/ 41620 h 175066"/>
              <a:gd name="connsiteX202" fmla="*/ 1062925 w 1227446"/>
              <a:gd name="connsiteY202" fmla="*/ 50952 h 175066"/>
              <a:gd name="connsiteX203" fmla="*/ 1162683 w 1227446"/>
              <a:gd name="connsiteY203" fmla="*/ 47686 h 175066"/>
              <a:gd name="connsiteX204" fmla="*/ 1136554 w 1227446"/>
              <a:gd name="connsiteY204" fmla="*/ 41620 h 175066"/>
              <a:gd name="connsiteX205" fmla="*/ 1110424 w 1227446"/>
              <a:gd name="connsiteY205" fmla="*/ 47686 h 175066"/>
              <a:gd name="connsiteX206" fmla="*/ 1093347 w 1227446"/>
              <a:gd name="connsiteY206" fmla="*/ 64950 h 175066"/>
              <a:gd name="connsiteX207" fmla="*/ 1087281 w 1227446"/>
              <a:gd name="connsiteY207" fmla="*/ 91639 h 175066"/>
              <a:gd name="connsiteX208" fmla="*/ 1093347 w 1227446"/>
              <a:gd name="connsiteY208" fmla="*/ 118235 h 175066"/>
              <a:gd name="connsiteX209" fmla="*/ 1110424 w 1227446"/>
              <a:gd name="connsiteY209" fmla="*/ 135686 h 175066"/>
              <a:gd name="connsiteX210" fmla="*/ 1136554 w 1227446"/>
              <a:gd name="connsiteY210" fmla="*/ 141845 h 175066"/>
              <a:gd name="connsiteX211" fmla="*/ 1162496 w 1227446"/>
              <a:gd name="connsiteY211" fmla="*/ 135686 h 175066"/>
              <a:gd name="connsiteX212" fmla="*/ 1179574 w 1227446"/>
              <a:gd name="connsiteY212" fmla="*/ 118235 h 175066"/>
              <a:gd name="connsiteX213" fmla="*/ 1185640 w 1227446"/>
              <a:gd name="connsiteY213" fmla="*/ 91639 h 175066"/>
              <a:gd name="connsiteX214" fmla="*/ 1179667 w 1227446"/>
              <a:gd name="connsiteY214" fmla="*/ 64950 h 175066"/>
              <a:gd name="connsiteX215" fmla="*/ 1162683 w 1227446"/>
              <a:gd name="connsiteY215" fmla="*/ 47686 h 175066"/>
              <a:gd name="connsiteX216" fmla="*/ 1153445 w 1227446"/>
              <a:gd name="connsiteY216" fmla="*/ 114129 h 175066"/>
              <a:gd name="connsiteX217" fmla="*/ 1136554 w 1227446"/>
              <a:gd name="connsiteY217" fmla="*/ 122248 h 175066"/>
              <a:gd name="connsiteX218" fmla="*/ 1119476 w 1227446"/>
              <a:gd name="connsiteY218" fmla="*/ 114223 h 175066"/>
              <a:gd name="connsiteX219" fmla="*/ 1113411 w 1227446"/>
              <a:gd name="connsiteY219" fmla="*/ 91639 h 175066"/>
              <a:gd name="connsiteX220" fmla="*/ 1119476 w 1227446"/>
              <a:gd name="connsiteY220" fmla="*/ 69056 h 175066"/>
              <a:gd name="connsiteX221" fmla="*/ 1136554 w 1227446"/>
              <a:gd name="connsiteY221" fmla="*/ 61031 h 175066"/>
              <a:gd name="connsiteX222" fmla="*/ 1153538 w 1227446"/>
              <a:gd name="connsiteY222" fmla="*/ 69056 h 175066"/>
              <a:gd name="connsiteX223" fmla="*/ 1159697 w 1227446"/>
              <a:gd name="connsiteY223" fmla="*/ 91639 h 175066"/>
              <a:gd name="connsiteX224" fmla="*/ 1153445 w 1227446"/>
              <a:gd name="connsiteY224" fmla="*/ 114129 h 175066"/>
              <a:gd name="connsiteX225" fmla="*/ 1227447 w 1227446"/>
              <a:gd name="connsiteY225" fmla="*/ 0 h 175066"/>
              <a:gd name="connsiteX226" fmla="*/ 1227447 w 1227446"/>
              <a:gd name="connsiteY226" fmla="*/ 139606 h 175066"/>
              <a:gd name="connsiteX227" fmla="*/ 1202250 w 1227446"/>
              <a:gd name="connsiteY227" fmla="*/ 139606 h 175066"/>
              <a:gd name="connsiteX228" fmla="*/ 1202250 w 1227446"/>
              <a:gd name="connsiteY228" fmla="*/ 0 h 175066"/>
              <a:gd name="connsiteX229" fmla="*/ 1227447 w 1227446"/>
              <a:gd name="connsiteY229" fmla="*/ 0 h 17506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Lst>
            <a:rect l="l" t="t" r="r" b="b"/>
            <a:pathLst>
              <a:path w="1227446" h="175066">
                <a:moveTo>
                  <a:pt x="0" y="139606"/>
                </a:moveTo>
                <a:lnTo>
                  <a:pt x="33222" y="139606"/>
                </a:lnTo>
                <a:lnTo>
                  <a:pt x="47966" y="114036"/>
                </a:lnTo>
                <a:lnTo>
                  <a:pt x="96305" y="114036"/>
                </a:lnTo>
                <a:lnTo>
                  <a:pt x="96305" y="139606"/>
                </a:lnTo>
                <a:lnTo>
                  <a:pt x="129714" y="139606"/>
                </a:lnTo>
                <a:lnTo>
                  <a:pt x="129714" y="7466"/>
                </a:lnTo>
                <a:lnTo>
                  <a:pt x="77455" y="7466"/>
                </a:lnTo>
                <a:lnTo>
                  <a:pt x="0" y="139606"/>
                </a:lnTo>
                <a:close/>
                <a:moveTo>
                  <a:pt x="96305" y="32102"/>
                </a:moveTo>
                <a:lnTo>
                  <a:pt x="96305" y="89027"/>
                </a:lnTo>
                <a:lnTo>
                  <a:pt x="62524" y="89027"/>
                </a:lnTo>
                <a:lnTo>
                  <a:pt x="95559" y="32102"/>
                </a:lnTo>
                <a:lnTo>
                  <a:pt x="96305" y="32102"/>
                </a:lnTo>
                <a:close/>
                <a:moveTo>
                  <a:pt x="250469" y="7466"/>
                </a:moveTo>
                <a:lnTo>
                  <a:pt x="307020" y="7466"/>
                </a:lnTo>
                <a:lnTo>
                  <a:pt x="307020" y="139606"/>
                </a:lnTo>
                <a:lnTo>
                  <a:pt x="274545" y="139606"/>
                </a:lnTo>
                <a:lnTo>
                  <a:pt x="274545" y="33222"/>
                </a:lnTo>
                <a:lnTo>
                  <a:pt x="273425" y="33222"/>
                </a:lnTo>
                <a:lnTo>
                  <a:pt x="243750" y="139606"/>
                </a:lnTo>
                <a:lnTo>
                  <a:pt x="211275" y="139606"/>
                </a:lnTo>
                <a:lnTo>
                  <a:pt x="181599" y="33222"/>
                </a:lnTo>
                <a:lnTo>
                  <a:pt x="180479" y="33222"/>
                </a:lnTo>
                <a:lnTo>
                  <a:pt x="180479" y="139606"/>
                </a:lnTo>
                <a:lnTo>
                  <a:pt x="150244" y="139606"/>
                </a:lnTo>
                <a:lnTo>
                  <a:pt x="150244" y="7466"/>
                </a:lnTo>
                <a:lnTo>
                  <a:pt x="205676" y="7466"/>
                </a:lnTo>
                <a:lnTo>
                  <a:pt x="223220" y="80068"/>
                </a:lnTo>
                <a:cubicBezTo>
                  <a:pt x="224209" y="84305"/>
                  <a:pt x="225049" y="88280"/>
                  <a:pt x="225739" y="92013"/>
                </a:cubicBezTo>
                <a:cubicBezTo>
                  <a:pt x="226430" y="95746"/>
                  <a:pt x="227008" y="99478"/>
                  <a:pt x="227512" y="103211"/>
                </a:cubicBezTo>
                <a:lnTo>
                  <a:pt x="228445" y="103211"/>
                </a:lnTo>
                <a:cubicBezTo>
                  <a:pt x="228949" y="99478"/>
                  <a:pt x="229528" y="95746"/>
                  <a:pt x="230219" y="92013"/>
                </a:cubicBezTo>
                <a:cubicBezTo>
                  <a:pt x="230909" y="88280"/>
                  <a:pt x="231749" y="84305"/>
                  <a:pt x="232738" y="80068"/>
                </a:cubicBezTo>
                <a:lnTo>
                  <a:pt x="250469" y="7466"/>
                </a:lnTo>
                <a:close/>
                <a:moveTo>
                  <a:pt x="354800" y="42554"/>
                </a:moveTo>
                <a:cubicBezTo>
                  <a:pt x="354800" y="45297"/>
                  <a:pt x="355696" y="47630"/>
                  <a:pt x="357506" y="49553"/>
                </a:cubicBezTo>
                <a:cubicBezTo>
                  <a:pt x="359316" y="51475"/>
                  <a:pt x="362172" y="53155"/>
                  <a:pt x="366091" y="54592"/>
                </a:cubicBezTo>
                <a:cubicBezTo>
                  <a:pt x="370011" y="56029"/>
                  <a:pt x="375087" y="57541"/>
                  <a:pt x="381302" y="59164"/>
                </a:cubicBezTo>
                <a:cubicBezTo>
                  <a:pt x="392501" y="61908"/>
                  <a:pt x="401310" y="65100"/>
                  <a:pt x="407712" y="68776"/>
                </a:cubicBezTo>
                <a:cubicBezTo>
                  <a:pt x="414113" y="72453"/>
                  <a:pt x="418686" y="76764"/>
                  <a:pt x="421430" y="81748"/>
                </a:cubicBezTo>
                <a:cubicBezTo>
                  <a:pt x="424173" y="86731"/>
                  <a:pt x="425536" y="92573"/>
                  <a:pt x="425536" y="99292"/>
                </a:cubicBezTo>
                <a:cubicBezTo>
                  <a:pt x="425536" y="107504"/>
                  <a:pt x="423240" y="114820"/>
                  <a:pt x="418630" y="121222"/>
                </a:cubicBezTo>
                <a:cubicBezTo>
                  <a:pt x="414020" y="127623"/>
                  <a:pt x="407581" y="132663"/>
                  <a:pt x="399313" y="136339"/>
                </a:cubicBezTo>
                <a:cubicBezTo>
                  <a:pt x="391045" y="140016"/>
                  <a:pt x="381358" y="141845"/>
                  <a:pt x="370291" y="141845"/>
                </a:cubicBezTo>
                <a:cubicBezTo>
                  <a:pt x="360959" y="141845"/>
                  <a:pt x="352653" y="140669"/>
                  <a:pt x="345375" y="138299"/>
                </a:cubicBezTo>
                <a:cubicBezTo>
                  <a:pt x="338096" y="135929"/>
                  <a:pt x="332086" y="132513"/>
                  <a:pt x="327364" y="128034"/>
                </a:cubicBezTo>
                <a:cubicBezTo>
                  <a:pt x="322642" y="123555"/>
                  <a:pt x="319338" y="118142"/>
                  <a:pt x="317472" y="111796"/>
                </a:cubicBezTo>
                <a:lnTo>
                  <a:pt x="346401" y="100412"/>
                </a:lnTo>
                <a:cubicBezTo>
                  <a:pt x="347763" y="105395"/>
                  <a:pt x="350638" y="109426"/>
                  <a:pt x="354986" y="112543"/>
                </a:cubicBezTo>
                <a:cubicBezTo>
                  <a:pt x="359335" y="115660"/>
                  <a:pt x="364505" y="117209"/>
                  <a:pt x="370477" y="117209"/>
                </a:cubicBezTo>
                <a:cubicBezTo>
                  <a:pt x="377066" y="117209"/>
                  <a:pt x="382198" y="115847"/>
                  <a:pt x="385875" y="113103"/>
                </a:cubicBezTo>
                <a:cubicBezTo>
                  <a:pt x="389552" y="110359"/>
                  <a:pt x="391381" y="106888"/>
                  <a:pt x="391381" y="102651"/>
                </a:cubicBezTo>
                <a:cubicBezTo>
                  <a:pt x="391381" y="98414"/>
                  <a:pt x="389291" y="94999"/>
                  <a:pt x="385129" y="92759"/>
                </a:cubicBezTo>
                <a:cubicBezTo>
                  <a:pt x="380966" y="90520"/>
                  <a:pt x="374210" y="88149"/>
                  <a:pt x="364878" y="85667"/>
                </a:cubicBezTo>
                <a:cubicBezTo>
                  <a:pt x="353811" y="82811"/>
                  <a:pt x="345039" y="79564"/>
                  <a:pt x="338562" y="75962"/>
                </a:cubicBezTo>
                <a:cubicBezTo>
                  <a:pt x="332086" y="72360"/>
                  <a:pt x="327495" y="68067"/>
                  <a:pt x="324751" y="63084"/>
                </a:cubicBezTo>
                <a:cubicBezTo>
                  <a:pt x="322007" y="58101"/>
                  <a:pt x="320645" y="52259"/>
                  <a:pt x="320645" y="45540"/>
                </a:cubicBezTo>
                <a:cubicBezTo>
                  <a:pt x="320645" y="33222"/>
                  <a:pt x="325367" y="23423"/>
                  <a:pt x="334829" y="16144"/>
                </a:cubicBezTo>
                <a:cubicBezTo>
                  <a:pt x="344292" y="8865"/>
                  <a:pt x="357413" y="5226"/>
                  <a:pt x="374210" y="5226"/>
                </a:cubicBezTo>
                <a:cubicBezTo>
                  <a:pt x="387891" y="5226"/>
                  <a:pt x="399126" y="7783"/>
                  <a:pt x="407898" y="12878"/>
                </a:cubicBezTo>
                <a:cubicBezTo>
                  <a:pt x="416670" y="17973"/>
                  <a:pt x="422736" y="25513"/>
                  <a:pt x="426096" y="35461"/>
                </a:cubicBezTo>
                <a:lnTo>
                  <a:pt x="396980" y="46473"/>
                </a:lnTo>
                <a:cubicBezTo>
                  <a:pt x="395487" y="41490"/>
                  <a:pt x="392594" y="37477"/>
                  <a:pt x="388301" y="34435"/>
                </a:cubicBezTo>
                <a:cubicBezTo>
                  <a:pt x="384009" y="31393"/>
                  <a:pt x="379193" y="29862"/>
                  <a:pt x="373837" y="29862"/>
                </a:cubicBezTo>
                <a:cubicBezTo>
                  <a:pt x="367995" y="29862"/>
                  <a:pt x="363348" y="31038"/>
                  <a:pt x="359932" y="33408"/>
                </a:cubicBezTo>
                <a:cubicBezTo>
                  <a:pt x="356517" y="35779"/>
                  <a:pt x="354800" y="38821"/>
                  <a:pt x="354800" y="42554"/>
                </a:cubicBezTo>
                <a:close/>
                <a:moveTo>
                  <a:pt x="528877" y="41434"/>
                </a:moveTo>
                <a:cubicBezTo>
                  <a:pt x="528877" y="44924"/>
                  <a:pt x="529867" y="47873"/>
                  <a:pt x="531864" y="50299"/>
                </a:cubicBezTo>
                <a:cubicBezTo>
                  <a:pt x="533861" y="52725"/>
                  <a:pt x="536996" y="54834"/>
                  <a:pt x="541289" y="56645"/>
                </a:cubicBezTo>
                <a:cubicBezTo>
                  <a:pt x="545582" y="58455"/>
                  <a:pt x="551087" y="60340"/>
                  <a:pt x="557806" y="62337"/>
                </a:cubicBezTo>
                <a:cubicBezTo>
                  <a:pt x="567381" y="65081"/>
                  <a:pt x="575201" y="68216"/>
                  <a:pt x="581230" y="71762"/>
                </a:cubicBezTo>
                <a:cubicBezTo>
                  <a:pt x="587258" y="75309"/>
                  <a:pt x="591737" y="79508"/>
                  <a:pt x="594668" y="84361"/>
                </a:cubicBezTo>
                <a:cubicBezTo>
                  <a:pt x="597598" y="89213"/>
                  <a:pt x="599054" y="94999"/>
                  <a:pt x="599054" y="101718"/>
                </a:cubicBezTo>
                <a:cubicBezTo>
                  <a:pt x="599054" y="109557"/>
                  <a:pt x="596907" y="116500"/>
                  <a:pt x="592615" y="122528"/>
                </a:cubicBezTo>
                <a:cubicBezTo>
                  <a:pt x="588322" y="128557"/>
                  <a:pt x="582349" y="133297"/>
                  <a:pt x="574697" y="136713"/>
                </a:cubicBezTo>
                <a:cubicBezTo>
                  <a:pt x="567045" y="140128"/>
                  <a:pt x="558124" y="141845"/>
                  <a:pt x="547915" y="141845"/>
                </a:cubicBezTo>
                <a:cubicBezTo>
                  <a:pt x="539703" y="141845"/>
                  <a:pt x="532200" y="140688"/>
                  <a:pt x="525425" y="138392"/>
                </a:cubicBezTo>
                <a:cubicBezTo>
                  <a:pt x="518650" y="136097"/>
                  <a:pt x="512920" y="132793"/>
                  <a:pt x="508254" y="128501"/>
                </a:cubicBezTo>
                <a:cubicBezTo>
                  <a:pt x="503588" y="124208"/>
                  <a:pt x="500191" y="119075"/>
                  <a:pt x="498082" y="113103"/>
                </a:cubicBezTo>
                <a:lnTo>
                  <a:pt x="520852" y="103211"/>
                </a:lnTo>
                <a:cubicBezTo>
                  <a:pt x="522588" y="108680"/>
                  <a:pt x="525947" y="113103"/>
                  <a:pt x="530931" y="116462"/>
                </a:cubicBezTo>
                <a:cubicBezTo>
                  <a:pt x="535914" y="119822"/>
                  <a:pt x="541700" y="121502"/>
                  <a:pt x="548288" y="121502"/>
                </a:cubicBezTo>
                <a:cubicBezTo>
                  <a:pt x="555623" y="121502"/>
                  <a:pt x="561409" y="119915"/>
                  <a:pt x="565645" y="116742"/>
                </a:cubicBezTo>
                <a:cubicBezTo>
                  <a:pt x="569882" y="113570"/>
                  <a:pt x="571991" y="109314"/>
                  <a:pt x="571991" y="103958"/>
                </a:cubicBezTo>
                <a:cubicBezTo>
                  <a:pt x="571991" y="98601"/>
                  <a:pt x="569714" y="94495"/>
                  <a:pt x="565179" y="91639"/>
                </a:cubicBezTo>
                <a:cubicBezTo>
                  <a:pt x="560643" y="88784"/>
                  <a:pt x="553327" y="85854"/>
                  <a:pt x="543249" y="82867"/>
                </a:cubicBezTo>
                <a:cubicBezTo>
                  <a:pt x="533674" y="80012"/>
                  <a:pt x="525835" y="76839"/>
                  <a:pt x="519732" y="73349"/>
                </a:cubicBezTo>
                <a:cubicBezTo>
                  <a:pt x="513629" y="69859"/>
                  <a:pt x="509150" y="65659"/>
                  <a:pt x="506294" y="60751"/>
                </a:cubicBezTo>
                <a:cubicBezTo>
                  <a:pt x="503439" y="55842"/>
                  <a:pt x="502002" y="50019"/>
                  <a:pt x="502002" y="43300"/>
                </a:cubicBezTo>
                <a:cubicBezTo>
                  <a:pt x="502002" y="31729"/>
                  <a:pt x="506425" y="22490"/>
                  <a:pt x="515253" y="15584"/>
                </a:cubicBezTo>
                <a:cubicBezTo>
                  <a:pt x="524081" y="8679"/>
                  <a:pt x="536156" y="5226"/>
                  <a:pt x="551461" y="5226"/>
                </a:cubicBezTo>
                <a:cubicBezTo>
                  <a:pt x="563536" y="5226"/>
                  <a:pt x="573801" y="7689"/>
                  <a:pt x="582256" y="12598"/>
                </a:cubicBezTo>
                <a:cubicBezTo>
                  <a:pt x="590711" y="17507"/>
                  <a:pt x="596683" y="24636"/>
                  <a:pt x="600173" y="33968"/>
                </a:cubicBezTo>
                <a:lnTo>
                  <a:pt x="577403" y="43673"/>
                </a:lnTo>
                <a:cubicBezTo>
                  <a:pt x="575294" y="38074"/>
                  <a:pt x="571898" y="33651"/>
                  <a:pt x="567232" y="30422"/>
                </a:cubicBezTo>
                <a:cubicBezTo>
                  <a:pt x="562566" y="27193"/>
                  <a:pt x="557191" y="25569"/>
                  <a:pt x="551087" y="25569"/>
                </a:cubicBezTo>
                <a:cubicBezTo>
                  <a:pt x="544238" y="25569"/>
                  <a:pt x="538825" y="27007"/>
                  <a:pt x="534850" y="29862"/>
                </a:cubicBezTo>
                <a:cubicBezTo>
                  <a:pt x="530875" y="32718"/>
                  <a:pt x="528877" y="36581"/>
                  <a:pt x="528877" y="41434"/>
                </a:cubicBezTo>
                <a:close/>
                <a:moveTo>
                  <a:pt x="677255" y="110303"/>
                </a:moveTo>
                <a:lnTo>
                  <a:pt x="697599" y="117956"/>
                </a:lnTo>
                <a:cubicBezTo>
                  <a:pt x="694986" y="125421"/>
                  <a:pt x="690226" y="131263"/>
                  <a:pt x="683321" y="135500"/>
                </a:cubicBezTo>
                <a:cubicBezTo>
                  <a:pt x="676415" y="139736"/>
                  <a:pt x="668166" y="141845"/>
                  <a:pt x="658591" y="141845"/>
                </a:cubicBezTo>
                <a:cubicBezTo>
                  <a:pt x="649017" y="141845"/>
                  <a:pt x="640263" y="139792"/>
                  <a:pt x="633115" y="135686"/>
                </a:cubicBezTo>
                <a:cubicBezTo>
                  <a:pt x="625967" y="131580"/>
                  <a:pt x="620386" y="125757"/>
                  <a:pt x="616411" y="118235"/>
                </a:cubicBezTo>
                <a:cubicBezTo>
                  <a:pt x="612436" y="110714"/>
                  <a:pt x="610439" y="101774"/>
                  <a:pt x="610439" y="91453"/>
                </a:cubicBezTo>
                <a:cubicBezTo>
                  <a:pt x="610439" y="81132"/>
                  <a:pt x="612398" y="72416"/>
                  <a:pt x="616318" y="64950"/>
                </a:cubicBezTo>
                <a:cubicBezTo>
                  <a:pt x="620237" y="57485"/>
                  <a:pt x="625743" y="51736"/>
                  <a:pt x="632835" y="47686"/>
                </a:cubicBezTo>
                <a:cubicBezTo>
                  <a:pt x="639927" y="43636"/>
                  <a:pt x="648326" y="41620"/>
                  <a:pt x="658031" y="41620"/>
                </a:cubicBezTo>
                <a:cubicBezTo>
                  <a:pt x="667737" y="41620"/>
                  <a:pt x="675762" y="43636"/>
                  <a:pt x="682481" y="47686"/>
                </a:cubicBezTo>
                <a:cubicBezTo>
                  <a:pt x="689200" y="51736"/>
                  <a:pt x="693997" y="57541"/>
                  <a:pt x="696852" y="65137"/>
                </a:cubicBezTo>
                <a:lnTo>
                  <a:pt x="675949" y="72976"/>
                </a:lnTo>
                <a:cubicBezTo>
                  <a:pt x="674082" y="69112"/>
                  <a:pt x="671712" y="66163"/>
                  <a:pt x="668856" y="64110"/>
                </a:cubicBezTo>
                <a:cubicBezTo>
                  <a:pt x="666001" y="62057"/>
                  <a:pt x="662455" y="61031"/>
                  <a:pt x="658218" y="61031"/>
                </a:cubicBezTo>
                <a:cubicBezTo>
                  <a:pt x="651256" y="61031"/>
                  <a:pt x="645806" y="63606"/>
                  <a:pt x="641887" y="68776"/>
                </a:cubicBezTo>
                <a:cubicBezTo>
                  <a:pt x="637968" y="73946"/>
                  <a:pt x="636008" y="81505"/>
                  <a:pt x="636008" y="91453"/>
                </a:cubicBezTo>
                <a:cubicBezTo>
                  <a:pt x="636008" y="101401"/>
                  <a:pt x="638024" y="108866"/>
                  <a:pt x="642074" y="114223"/>
                </a:cubicBezTo>
                <a:cubicBezTo>
                  <a:pt x="646124" y="119579"/>
                  <a:pt x="651686" y="122248"/>
                  <a:pt x="658778" y="122248"/>
                </a:cubicBezTo>
                <a:cubicBezTo>
                  <a:pt x="663015" y="122248"/>
                  <a:pt x="666673" y="121222"/>
                  <a:pt x="669790" y="119169"/>
                </a:cubicBezTo>
                <a:cubicBezTo>
                  <a:pt x="672906" y="117116"/>
                  <a:pt x="675389" y="114167"/>
                  <a:pt x="677255" y="110303"/>
                </a:cubicBezTo>
                <a:close/>
                <a:moveTo>
                  <a:pt x="789518" y="50952"/>
                </a:moveTo>
                <a:cubicBezTo>
                  <a:pt x="795173" y="57167"/>
                  <a:pt x="798010" y="66014"/>
                  <a:pt x="798010" y="77455"/>
                </a:cubicBezTo>
                <a:lnTo>
                  <a:pt x="798010" y="139606"/>
                </a:lnTo>
                <a:lnTo>
                  <a:pt x="772814" y="139606"/>
                </a:lnTo>
                <a:lnTo>
                  <a:pt x="772814" y="80441"/>
                </a:lnTo>
                <a:cubicBezTo>
                  <a:pt x="772814" y="74338"/>
                  <a:pt x="771414" y="69840"/>
                  <a:pt x="768615" y="66910"/>
                </a:cubicBezTo>
                <a:cubicBezTo>
                  <a:pt x="765815" y="63980"/>
                  <a:pt x="761429" y="62524"/>
                  <a:pt x="755457" y="62524"/>
                </a:cubicBezTo>
                <a:cubicBezTo>
                  <a:pt x="751855" y="62524"/>
                  <a:pt x="748551" y="63270"/>
                  <a:pt x="745565" y="64764"/>
                </a:cubicBezTo>
                <a:cubicBezTo>
                  <a:pt x="742579" y="66257"/>
                  <a:pt x="740190" y="68310"/>
                  <a:pt x="738379" y="70923"/>
                </a:cubicBezTo>
                <a:cubicBezTo>
                  <a:pt x="736569" y="73536"/>
                  <a:pt x="735673" y="76522"/>
                  <a:pt x="735673" y="79881"/>
                </a:cubicBezTo>
                <a:lnTo>
                  <a:pt x="735673" y="139606"/>
                </a:lnTo>
                <a:lnTo>
                  <a:pt x="710477" y="139606"/>
                </a:lnTo>
                <a:lnTo>
                  <a:pt x="710477" y="0"/>
                </a:lnTo>
                <a:lnTo>
                  <a:pt x="735673" y="0"/>
                </a:lnTo>
                <a:lnTo>
                  <a:pt x="735673" y="55432"/>
                </a:lnTo>
                <a:lnTo>
                  <a:pt x="736606" y="55432"/>
                </a:lnTo>
                <a:cubicBezTo>
                  <a:pt x="739219" y="51083"/>
                  <a:pt x="742914" y="47686"/>
                  <a:pt x="747711" y="45260"/>
                </a:cubicBezTo>
                <a:cubicBezTo>
                  <a:pt x="752508" y="42834"/>
                  <a:pt x="758200" y="41620"/>
                  <a:pt x="764789" y="41620"/>
                </a:cubicBezTo>
                <a:cubicBezTo>
                  <a:pt x="775614" y="41620"/>
                  <a:pt x="783863" y="44737"/>
                  <a:pt x="789518" y="50952"/>
                </a:cubicBezTo>
                <a:close/>
                <a:moveTo>
                  <a:pt x="844185" y="6812"/>
                </a:moveTo>
                <a:cubicBezTo>
                  <a:pt x="846984" y="9612"/>
                  <a:pt x="848384" y="13065"/>
                  <a:pt x="848384" y="17171"/>
                </a:cubicBezTo>
                <a:cubicBezTo>
                  <a:pt x="848384" y="21277"/>
                  <a:pt x="846984" y="24599"/>
                  <a:pt x="844185" y="27529"/>
                </a:cubicBezTo>
                <a:cubicBezTo>
                  <a:pt x="841385" y="30459"/>
                  <a:pt x="837876" y="31915"/>
                  <a:pt x="833639" y="31915"/>
                </a:cubicBezTo>
                <a:cubicBezTo>
                  <a:pt x="829403" y="31915"/>
                  <a:pt x="825707" y="30459"/>
                  <a:pt x="822908" y="27529"/>
                </a:cubicBezTo>
                <a:cubicBezTo>
                  <a:pt x="820108" y="24599"/>
                  <a:pt x="818708" y="21146"/>
                  <a:pt x="818708" y="17171"/>
                </a:cubicBezTo>
                <a:cubicBezTo>
                  <a:pt x="818708" y="13195"/>
                  <a:pt x="820108" y="9612"/>
                  <a:pt x="822908" y="6812"/>
                </a:cubicBezTo>
                <a:cubicBezTo>
                  <a:pt x="825707" y="4013"/>
                  <a:pt x="829291" y="2613"/>
                  <a:pt x="833639" y="2613"/>
                </a:cubicBezTo>
                <a:cubicBezTo>
                  <a:pt x="837988" y="2613"/>
                  <a:pt x="841385" y="4013"/>
                  <a:pt x="844185" y="6812"/>
                </a:cubicBezTo>
                <a:close/>
                <a:moveTo>
                  <a:pt x="820948" y="43860"/>
                </a:moveTo>
                <a:lnTo>
                  <a:pt x="846144" y="43860"/>
                </a:lnTo>
                <a:lnTo>
                  <a:pt x="846144" y="139606"/>
                </a:lnTo>
                <a:lnTo>
                  <a:pt x="820948" y="139606"/>
                </a:lnTo>
                <a:lnTo>
                  <a:pt x="820948" y="43860"/>
                </a:lnTo>
                <a:close/>
                <a:moveTo>
                  <a:pt x="945996" y="47966"/>
                </a:moveTo>
                <a:cubicBezTo>
                  <a:pt x="939520" y="43729"/>
                  <a:pt x="932054" y="41620"/>
                  <a:pt x="923599" y="41620"/>
                </a:cubicBezTo>
                <a:cubicBezTo>
                  <a:pt x="917254" y="41620"/>
                  <a:pt x="911710" y="42871"/>
                  <a:pt x="906988" y="45353"/>
                </a:cubicBezTo>
                <a:cubicBezTo>
                  <a:pt x="902266" y="47835"/>
                  <a:pt x="898590" y="51270"/>
                  <a:pt x="895977" y="55618"/>
                </a:cubicBezTo>
                <a:lnTo>
                  <a:pt x="895044" y="55618"/>
                </a:lnTo>
                <a:lnTo>
                  <a:pt x="895044" y="43860"/>
                </a:lnTo>
                <a:lnTo>
                  <a:pt x="869847" y="43860"/>
                </a:lnTo>
                <a:lnTo>
                  <a:pt x="869847" y="175067"/>
                </a:lnTo>
                <a:lnTo>
                  <a:pt x="895044" y="175067"/>
                </a:lnTo>
                <a:lnTo>
                  <a:pt x="895044" y="128034"/>
                </a:lnTo>
                <a:lnTo>
                  <a:pt x="895977" y="128034"/>
                </a:lnTo>
                <a:cubicBezTo>
                  <a:pt x="898590" y="132383"/>
                  <a:pt x="902266" y="135779"/>
                  <a:pt x="906988" y="138206"/>
                </a:cubicBezTo>
                <a:cubicBezTo>
                  <a:pt x="911710" y="140632"/>
                  <a:pt x="917309" y="141845"/>
                  <a:pt x="923786" y="141845"/>
                </a:cubicBezTo>
                <a:cubicBezTo>
                  <a:pt x="932502" y="141845"/>
                  <a:pt x="940023" y="139792"/>
                  <a:pt x="946369" y="135686"/>
                </a:cubicBezTo>
                <a:cubicBezTo>
                  <a:pt x="952715" y="131580"/>
                  <a:pt x="957661" y="125757"/>
                  <a:pt x="961207" y="118235"/>
                </a:cubicBezTo>
                <a:cubicBezTo>
                  <a:pt x="964753" y="110714"/>
                  <a:pt x="966526" y="101905"/>
                  <a:pt x="966526" y="91826"/>
                </a:cubicBezTo>
                <a:cubicBezTo>
                  <a:pt x="966526" y="81748"/>
                  <a:pt x="964716" y="72976"/>
                  <a:pt x="961114" y="65510"/>
                </a:cubicBezTo>
                <a:cubicBezTo>
                  <a:pt x="957511" y="58045"/>
                  <a:pt x="952472" y="52203"/>
                  <a:pt x="945996" y="47966"/>
                </a:cubicBezTo>
                <a:close/>
                <a:moveTo>
                  <a:pt x="937784" y="107784"/>
                </a:moveTo>
                <a:cubicBezTo>
                  <a:pt x="935787" y="112319"/>
                  <a:pt x="933024" y="115847"/>
                  <a:pt x="929478" y="118329"/>
                </a:cubicBezTo>
                <a:cubicBezTo>
                  <a:pt x="925932" y="120811"/>
                  <a:pt x="921733" y="122062"/>
                  <a:pt x="916880" y="122062"/>
                </a:cubicBezTo>
                <a:cubicBezTo>
                  <a:pt x="912905" y="122062"/>
                  <a:pt x="909265" y="121203"/>
                  <a:pt x="905962" y="119449"/>
                </a:cubicBezTo>
                <a:cubicBezTo>
                  <a:pt x="902658" y="117713"/>
                  <a:pt x="900027" y="115343"/>
                  <a:pt x="898030" y="112356"/>
                </a:cubicBezTo>
                <a:cubicBezTo>
                  <a:pt x="896033" y="109370"/>
                  <a:pt x="895044" y="106067"/>
                  <a:pt x="895044" y="102465"/>
                </a:cubicBezTo>
                <a:lnTo>
                  <a:pt x="895044" y="81001"/>
                </a:lnTo>
                <a:cubicBezTo>
                  <a:pt x="895044" y="77268"/>
                  <a:pt x="896033" y="73909"/>
                  <a:pt x="898030" y="70923"/>
                </a:cubicBezTo>
                <a:cubicBezTo>
                  <a:pt x="900027" y="67936"/>
                  <a:pt x="902658" y="65603"/>
                  <a:pt x="905962" y="63924"/>
                </a:cubicBezTo>
                <a:cubicBezTo>
                  <a:pt x="909265" y="62244"/>
                  <a:pt x="912905" y="61404"/>
                  <a:pt x="916880" y="61404"/>
                </a:cubicBezTo>
                <a:cubicBezTo>
                  <a:pt x="924103" y="61404"/>
                  <a:pt x="929889" y="64110"/>
                  <a:pt x="934238" y="69523"/>
                </a:cubicBezTo>
                <a:cubicBezTo>
                  <a:pt x="938586" y="74935"/>
                  <a:pt x="940770" y="82364"/>
                  <a:pt x="940770" y="91826"/>
                </a:cubicBezTo>
                <a:cubicBezTo>
                  <a:pt x="940770" y="97929"/>
                  <a:pt x="939781" y="103248"/>
                  <a:pt x="937784" y="107784"/>
                </a:cubicBezTo>
                <a:close/>
                <a:moveTo>
                  <a:pt x="1062925" y="50952"/>
                </a:moveTo>
                <a:cubicBezTo>
                  <a:pt x="1068580" y="57167"/>
                  <a:pt x="1071417" y="66014"/>
                  <a:pt x="1071417" y="77455"/>
                </a:cubicBezTo>
                <a:lnTo>
                  <a:pt x="1071417" y="139606"/>
                </a:lnTo>
                <a:lnTo>
                  <a:pt x="1046221" y="139606"/>
                </a:lnTo>
                <a:lnTo>
                  <a:pt x="1046221" y="80441"/>
                </a:lnTo>
                <a:cubicBezTo>
                  <a:pt x="1046221" y="74338"/>
                  <a:pt x="1044821" y="69840"/>
                  <a:pt x="1042021" y="66910"/>
                </a:cubicBezTo>
                <a:cubicBezTo>
                  <a:pt x="1039222" y="63980"/>
                  <a:pt x="1034836" y="62524"/>
                  <a:pt x="1028863" y="62524"/>
                </a:cubicBezTo>
                <a:cubicBezTo>
                  <a:pt x="1025261" y="62524"/>
                  <a:pt x="1021958" y="63270"/>
                  <a:pt x="1018972" y="64764"/>
                </a:cubicBezTo>
                <a:cubicBezTo>
                  <a:pt x="1015985" y="66257"/>
                  <a:pt x="1013596" y="68310"/>
                  <a:pt x="1011786" y="70923"/>
                </a:cubicBezTo>
                <a:cubicBezTo>
                  <a:pt x="1009976" y="73536"/>
                  <a:pt x="1009080" y="76522"/>
                  <a:pt x="1009080" y="79881"/>
                </a:cubicBezTo>
                <a:lnTo>
                  <a:pt x="1009080" y="139606"/>
                </a:lnTo>
                <a:lnTo>
                  <a:pt x="983883" y="139606"/>
                </a:lnTo>
                <a:lnTo>
                  <a:pt x="983883" y="0"/>
                </a:lnTo>
                <a:lnTo>
                  <a:pt x="1009080" y="0"/>
                </a:lnTo>
                <a:lnTo>
                  <a:pt x="1009080" y="55432"/>
                </a:lnTo>
                <a:lnTo>
                  <a:pt x="1010013" y="55432"/>
                </a:lnTo>
                <a:cubicBezTo>
                  <a:pt x="1012626" y="51083"/>
                  <a:pt x="1016321" y="47686"/>
                  <a:pt x="1021118" y="45260"/>
                </a:cubicBezTo>
                <a:cubicBezTo>
                  <a:pt x="1025914" y="42834"/>
                  <a:pt x="1031607" y="41620"/>
                  <a:pt x="1038195" y="41620"/>
                </a:cubicBezTo>
                <a:cubicBezTo>
                  <a:pt x="1049020" y="41620"/>
                  <a:pt x="1057270" y="44737"/>
                  <a:pt x="1062925" y="50952"/>
                </a:cubicBezTo>
                <a:close/>
                <a:moveTo>
                  <a:pt x="1162683" y="47686"/>
                </a:moveTo>
                <a:cubicBezTo>
                  <a:pt x="1155348" y="43636"/>
                  <a:pt x="1146632" y="41620"/>
                  <a:pt x="1136554" y="41620"/>
                </a:cubicBezTo>
                <a:cubicBezTo>
                  <a:pt x="1126475" y="41620"/>
                  <a:pt x="1117759" y="43636"/>
                  <a:pt x="1110424" y="47686"/>
                </a:cubicBezTo>
                <a:cubicBezTo>
                  <a:pt x="1103090" y="51736"/>
                  <a:pt x="1097397" y="57485"/>
                  <a:pt x="1093347" y="64950"/>
                </a:cubicBezTo>
                <a:cubicBezTo>
                  <a:pt x="1089297" y="72416"/>
                  <a:pt x="1087281" y="81318"/>
                  <a:pt x="1087281" y="91639"/>
                </a:cubicBezTo>
                <a:cubicBezTo>
                  <a:pt x="1087281" y="101961"/>
                  <a:pt x="1089297" y="110714"/>
                  <a:pt x="1093347" y="118235"/>
                </a:cubicBezTo>
                <a:cubicBezTo>
                  <a:pt x="1097397" y="125757"/>
                  <a:pt x="1103090" y="131580"/>
                  <a:pt x="1110424" y="135686"/>
                </a:cubicBezTo>
                <a:cubicBezTo>
                  <a:pt x="1117759" y="139792"/>
                  <a:pt x="1126475" y="141845"/>
                  <a:pt x="1136554" y="141845"/>
                </a:cubicBezTo>
                <a:cubicBezTo>
                  <a:pt x="1146632" y="141845"/>
                  <a:pt x="1155162" y="139792"/>
                  <a:pt x="1162496" y="135686"/>
                </a:cubicBezTo>
                <a:cubicBezTo>
                  <a:pt x="1169831" y="131580"/>
                  <a:pt x="1175524" y="125757"/>
                  <a:pt x="1179574" y="118235"/>
                </a:cubicBezTo>
                <a:cubicBezTo>
                  <a:pt x="1183624" y="110714"/>
                  <a:pt x="1185640" y="101849"/>
                  <a:pt x="1185640" y="91639"/>
                </a:cubicBezTo>
                <a:cubicBezTo>
                  <a:pt x="1185640" y="81430"/>
                  <a:pt x="1183643" y="72416"/>
                  <a:pt x="1179667" y="64950"/>
                </a:cubicBezTo>
                <a:cubicBezTo>
                  <a:pt x="1175692" y="57485"/>
                  <a:pt x="1170018" y="51736"/>
                  <a:pt x="1162683" y="47686"/>
                </a:cubicBezTo>
                <a:close/>
                <a:moveTo>
                  <a:pt x="1153445" y="114129"/>
                </a:moveTo>
                <a:cubicBezTo>
                  <a:pt x="1149283" y="119542"/>
                  <a:pt x="1143646" y="122248"/>
                  <a:pt x="1136554" y="122248"/>
                </a:cubicBezTo>
                <a:cubicBezTo>
                  <a:pt x="1129461" y="122248"/>
                  <a:pt x="1123526" y="119579"/>
                  <a:pt x="1119476" y="114223"/>
                </a:cubicBezTo>
                <a:cubicBezTo>
                  <a:pt x="1115426" y="108866"/>
                  <a:pt x="1113411" y="101345"/>
                  <a:pt x="1113411" y="91639"/>
                </a:cubicBezTo>
                <a:cubicBezTo>
                  <a:pt x="1113411" y="81934"/>
                  <a:pt x="1115426" y="74413"/>
                  <a:pt x="1119476" y="69056"/>
                </a:cubicBezTo>
                <a:cubicBezTo>
                  <a:pt x="1123526" y="63700"/>
                  <a:pt x="1129219" y="61031"/>
                  <a:pt x="1136554" y="61031"/>
                </a:cubicBezTo>
                <a:cubicBezTo>
                  <a:pt x="1143889" y="61031"/>
                  <a:pt x="1149432" y="63700"/>
                  <a:pt x="1153538" y="69056"/>
                </a:cubicBezTo>
                <a:cubicBezTo>
                  <a:pt x="1157644" y="74413"/>
                  <a:pt x="1159697" y="81934"/>
                  <a:pt x="1159697" y="91639"/>
                </a:cubicBezTo>
                <a:cubicBezTo>
                  <a:pt x="1159697" y="101345"/>
                  <a:pt x="1157607" y="108717"/>
                  <a:pt x="1153445" y="114129"/>
                </a:cubicBezTo>
                <a:close/>
                <a:moveTo>
                  <a:pt x="1227447" y="0"/>
                </a:moveTo>
                <a:lnTo>
                  <a:pt x="1227447" y="139606"/>
                </a:lnTo>
                <a:lnTo>
                  <a:pt x="1202250" y="139606"/>
                </a:lnTo>
                <a:lnTo>
                  <a:pt x="1202250" y="0"/>
                </a:lnTo>
                <a:lnTo>
                  <a:pt x="1227447" y="0"/>
                </a:lnTo>
                <a:close/>
              </a:path>
            </a:pathLst>
          </a:custGeom>
          <a:solidFill>
            <a:srgbClr val="0000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sp macro="" textlink="">
        <xdr:nvSpPr>
          <xdr:cNvPr id="8" name="Freeform: Shape 7">
            <a:extLst>
              <a:ext uri="{FF2B5EF4-FFF2-40B4-BE49-F238E27FC236}">
                <a16:creationId xmlns:a16="http://schemas.microsoft.com/office/drawing/2014/main" id="{FC47AFE3-4A71-5932-F3BB-5967D6E61107}"/>
              </a:ext>
            </a:extLst>
          </xdr:cNvPr>
          <xdr:cNvSpPr/>
        </xdr:nvSpPr>
        <xdr:spPr>
          <a:xfrm>
            <a:off x="4913923" y="381000"/>
            <a:ext cx="1372732" cy="1372732"/>
          </a:xfrm>
          <a:custGeom>
            <a:avLst/>
            <a:gdLst>
              <a:gd name="connsiteX0" fmla="*/ 675986 w 703627"/>
              <a:gd name="connsiteY0" fmla="*/ 214877 h 703627"/>
              <a:gd name="connsiteX1" fmla="*/ 600603 w 703627"/>
              <a:gd name="connsiteY1" fmla="*/ 103062 h 703627"/>
              <a:gd name="connsiteX2" fmla="*/ 488788 w 703627"/>
              <a:gd name="connsiteY2" fmla="*/ 27678 h 703627"/>
              <a:gd name="connsiteX3" fmla="*/ 351814 w 703627"/>
              <a:gd name="connsiteY3" fmla="*/ 0 h 703627"/>
              <a:gd name="connsiteX4" fmla="*/ 214858 w 703627"/>
              <a:gd name="connsiteY4" fmla="*/ 27660 h 703627"/>
              <a:gd name="connsiteX5" fmla="*/ 103043 w 703627"/>
              <a:gd name="connsiteY5" fmla="*/ 103043 h 703627"/>
              <a:gd name="connsiteX6" fmla="*/ 27660 w 703627"/>
              <a:gd name="connsiteY6" fmla="*/ 214858 h 703627"/>
              <a:gd name="connsiteX7" fmla="*/ 0 w 703627"/>
              <a:gd name="connsiteY7" fmla="*/ 351814 h 703627"/>
              <a:gd name="connsiteX8" fmla="*/ 27660 w 703627"/>
              <a:gd name="connsiteY8" fmla="*/ 488769 h 703627"/>
              <a:gd name="connsiteX9" fmla="*/ 103043 w 703627"/>
              <a:gd name="connsiteY9" fmla="*/ 600584 h 703627"/>
              <a:gd name="connsiteX10" fmla="*/ 214858 w 703627"/>
              <a:gd name="connsiteY10" fmla="*/ 675967 h 703627"/>
              <a:gd name="connsiteX11" fmla="*/ 351814 w 703627"/>
              <a:gd name="connsiteY11" fmla="*/ 703627 h 703627"/>
              <a:gd name="connsiteX12" fmla="*/ 488769 w 703627"/>
              <a:gd name="connsiteY12" fmla="*/ 675967 h 703627"/>
              <a:gd name="connsiteX13" fmla="*/ 600584 w 703627"/>
              <a:gd name="connsiteY13" fmla="*/ 600584 h 703627"/>
              <a:gd name="connsiteX14" fmla="*/ 675967 w 703627"/>
              <a:gd name="connsiteY14" fmla="*/ 488769 h 703627"/>
              <a:gd name="connsiteX15" fmla="*/ 703627 w 703627"/>
              <a:gd name="connsiteY15" fmla="*/ 351814 h 703627"/>
              <a:gd name="connsiteX16" fmla="*/ 675967 w 703627"/>
              <a:gd name="connsiteY16" fmla="*/ 214858 h 703627"/>
              <a:gd name="connsiteX17" fmla="*/ 351814 w 703627"/>
              <a:gd name="connsiteY17" fmla="*/ 682481 h 703627"/>
              <a:gd name="connsiteX18" fmla="*/ 21146 w 703627"/>
              <a:gd name="connsiteY18" fmla="*/ 351814 h 703627"/>
              <a:gd name="connsiteX19" fmla="*/ 351814 w 703627"/>
              <a:gd name="connsiteY19" fmla="*/ 21165 h 703627"/>
              <a:gd name="connsiteX20" fmla="*/ 682481 w 703627"/>
              <a:gd name="connsiteY20" fmla="*/ 351832 h 703627"/>
              <a:gd name="connsiteX21" fmla="*/ 351814 w 703627"/>
              <a:gd name="connsiteY21" fmla="*/ 682500 h 70362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703627" h="703627">
                <a:moveTo>
                  <a:pt x="675986" y="214877"/>
                </a:moveTo>
                <a:cubicBezTo>
                  <a:pt x="658255" y="172977"/>
                  <a:pt x="632891" y="135350"/>
                  <a:pt x="600603" y="103062"/>
                </a:cubicBezTo>
                <a:cubicBezTo>
                  <a:pt x="568314" y="70773"/>
                  <a:pt x="530669" y="45390"/>
                  <a:pt x="488788" y="27678"/>
                </a:cubicBezTo>
                <a:cubicBezTo>
                  <a:pt x="445375" y="9313"/>
                  <a:pt x="399313" y="0"/>
                  <a:pt x="351814" y="0"/>
                </a:cubicBezTo>
                <a:cubicBezTo>
                  <a:pt x="304314" y="0"/>
                  <a:pt x="258252" y="9313"/>
                  <a:pt x="214858" y="27660"/>
                </a:cubicBezTo>
                <a:cubicBezTo>
                  <a:pt x="172958" y="45372"/>
                  <a:pt x="135332" y="70755"/>
                  <a:pt x="103043" y="103043"/>
                </a:cubicBezTo>
                <a:cubicBezTo>
                  <a:pt x="70736" y="135350"/>
                  <a:pt x="45372" y="172977"/>
                  <a:pt x="27660" y="214858"/>
                </a:cubicBezTo>
                <a:cubicBezTo>
                  <a:pt x="9313" y="258252"/>
                  <a:pt x="0" y="304333"/>
                  <a:pt x="0" y="351814"/>
                </a:cubicBezTo>
                <a:cubicBezTo>
                  <a:pt x="0" y="399294"/>
                  <a:pt x="9313" y="445375"/>
                  <a:pt x="27660" y="488769"/>
                </a:cubicBezTo>
                <a:cubicBezTo>
                  <a:pt x="45390" y="530669"/>
                  <a:pt x="70736" y="568295"/>
                  <a:pt x="103043" y="600584"/>
                </a:cubicBezTo>
                <a:cubicBezTo>
                  <a:pt x="135350" y="632891"/>
                  <a:pt x="172977" y="658255"/>
                  <a:pt x="214858" y="675967"/>
                </a:cubicBezTo>
                <a:cubicBezTo>
                  <a:pt x="258252" y="694314"/>
                  <a:pt x="304314" y="703627"/>
                  <a:pt x="351814" y="703627"/>
                </a:cubicBezTo>
                <a:cubicBezTo>
                  <a:pt x="399313" y="703627"/>
                  <a:pt x="445375" y="694314"/>
                  <a:pt x="488769" y="675967"/>
                </a:cubicBezTo>
                <a:cubicBezTo>
                  <a:pt x="530669" y="658255"/>
                  <a:pt x="568296" y="632872"/>
                  <a:pt x="600584" y="600584"/>
                </a:cubicBezTo>
                <a:cubicBezTo>
                  <a:pt x="632891" y="568277"/>
                  <a:pt x="658255" y="530651"/>
                  <a:pt x="675967" y="488769"/>
                </a:cubicBezTo>
                <a:cubicBezTo>
                  <a:pt x="694314" y="445375"/>
                  <a:pt x="703627" y="399313"/>
                  <a:pt x="703627" y="351814"/>
                </a:cubicBezTo>
                <a:cubicBezTo>
                  <a:pt x="703627" y="304314"/>
                  <a:pt x="694314" y="258252"/>
                  <a:pt x="675967" y="214858"/>
                </a:cubicBezTo>
                <a:close/>
                <a:moveTo>
                  <a:pt x="351814" y="682481"/>
                </a:moveTo>
                <a:cubicBezTo>
                  <a:pt x="169188" y="682481"/>
                  <a:pt x="21146" y="534439"/>
                  <a:pt x="21146" y="351814"/>
                </a:cubicBezTo>
                <a:cubicBezTo>
                  <a:pt x="21146" y="169188"/>
                  <a:pt x="169206" y="21165"/>
                  <a:pt x="351814" y="21165"/>
                </a:cubicBezTo>
                <a:cubicBezTo>
                  <a:pt x="534421" y="21165"/>
                  <a:pt x="682481" y="169206"/>
                  <a:pt x="682481" y="351832"/>
                </a:cubicBezTo>
                <a:cubicBezTo>
                  <a:pt x="682481" y="534458"/>
                  <a:pt x="534439" y="682500"/>
                  <a:pt x="351814" y="682500"/>
                </a:cubicBezTo>
                <a:close/>
              </a:path>
            </a:pathLst>
          </a:custGeom>
          <a:solidFill>
            <a:srgbClr val="FF7700"/>
          </a:solidFill>
          <a:ln w="1863" cap="flat">
            <a:noFill/>
            <a:prstDash val="solid"/>
            <a:miter/>
          </a:ln>
        </xdr:spPr>
        <xdr:txBody>
          <a:bodyPr wrap="square" rtlCol="0" anchor="ctr"/>
          <a:lstStyle>
            <a:defPPr>
              <a:defRPr lang="en-NL"/>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NL"/>
          </a:p>
        </xdr:txBody>
      </xdr:sp>
    </xdr:grpSp>
    <xdr:clientData/>
  </xdr:twoCellAnchor>
  <xdr:twoCellAnchor>
    <xdr:from>
      <xdr:col>5</xdr:col>
      <xdr:colOff>36457</xdr:colOff>
      <xdr:row>5</xdr:row>
      <xdr:rowOff>62403</xdr:rowOff>
    </xdr:from>
    <xdr:to>
      <xdr:col>5</xdr:col>
      <xdr:colOff>649045</xdr:colOff>
      <xdr:row>6</xdr:row>
      <xdr:rowOff>196825</xdr:rowOff>
    </xdr:to>
    <xdr:cxnSp macro="">
      <xdr:nvCxnSpPr>
        <xdr:cNvPr id="7" name="Rechte verbindingslijn 13">
          <a:extLst>
            <a:ext uri="{FF2B5EF4-FFF2-40B4-BE49-F238E27FC236}">
              <a16:creationId xmlns:a16="http://schemas.microsoft.com/office/drawing/2014/main" id="{DF7F9729-4641-4B43-B177-5357592F8910}"/>
            </a:ext>
          </a:extLst>
        </xdr:cNvPr>
        <xdr:cNvCxnSpPr/>
      </xdr:nvCxnSpPr>
      <xdr:spPr>
        <a:xfrm flipH="1">
          <a:off x="6206905" y="1060886"/>
          <a:ext cx="612588" cy="335870"/>
        </a:xfrm>
        <a:prstGeom prst="line">
          <a:avLst/>
        </a:prstGeom>
        <a:ln w="19050">
          <a:solidFill>
            <a:srgbClr val="FF77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6AFB4-EF79-4F9B-B5C2-56FE8DCB7219}">
  <dimension ref="A1:O31"/>
  <sheetViews>
    <sheetView topLeftCell="A10" zoomScale="175" zoomScaleNormal="175" workbookViewId="0">
      <selection activeCell="B11" sqref="B11"/>
    </sheetView>
  </sheetViews>
  <sheetFormatPr defaultColWidth="0" defaultRowHeight="0" customHeight="1" zeroHeight="1" x14ac:dyDescent="0.55000000000000004"/>
  <cols>
    <col min="1" max="1" width="8.5234375" style="1" customWidth="1"/>
    <col min="2" max="2" width="28.5234375" style="1" customWidth="1"/>
    <col min="3" max="3" width="36.5234375" style="1" customWidth="1"/>
    <col min="4" max="4" width="29.1015625" style="1" customWidth="1"/>
    <col min="5" max="5" width="23.3125" style="1" bestFit="1" customWidth="1"/>
    <col min="6" max="6" width="28.68359375" style="1" customWidth="1"/>
    <col min="7" max="7" width="8.5234375" style="1" customWidth="1"/>
    <col min="8" max="8" width="10.89453125" style="1" hidden="1" customWidth="1"/>
    <col min="9" max="9" width="24.89453125" style="1" hidden="1" customWidth="1"/>
    <col min="10" max="10" width="20.68359375" style="1" hidden="1" customWidth="1"/>
    <col min="11" max="12" width="19.5234375" style="1" hidden="1" customWidth="1"/>
    <col min="13" max="13" width="22.68359375" style="1" hidden="1" customWidth="1"/>
    <col min="14" max="14" width="17.68359375" style="1" hidden="1" customWidth="1"/>
    <col min="15" max="15" width="38.3125" style="1" hidden="1" customWidth="1"/>
    <col min="16" max="16384" width="8.89453125" style="1" hidden="1"/>
  </cols>
  <sheetData>
    <row r="1" spans="1:14" ht="14.4" x14ac:dyDescent="0.55000000000000004">
      <c r="A1" s="14"/>
      <c r="B1" s="15"/>
      <c r="C1" s="15"/>
      <c r="D1" s="14"/>
      <c r="E1" s="14"/>
      <c r="F1" s="14"/>
      <c r="G1" s="14"/>
      <c r="H1" s="4"/>
      <c r="I1" s="4"/>
      <c r="J1" s="2"/>
      <c r="K1" s="2"/>
      <c r="L1" s="2"/>
      <c r="M1" s="2"/>
      <c r="N1" s="2"/>
    </row>
    <row r="2" spans="1:14" ht="14.4" x14ac:dyDescent="0.55000000000000004">
      <c r="A2" s="14"/>
      <c r="B2" s="14"/>
      <c r="C2" s="14"/>
      <c r="D2" s="14"/>
      <c r="E2" s="14"/>
      <c r="F2" s="14"/>
      <c r="G2" s="14"/>
    </row>
    <row r="3" spans="1:14" ht="14.4" x14ac:dyDescent="0.55000000000000004">
      <c r="A3" s="14"/>
      <c r="B3" s="14"/>
      <c r="C3" s="14"/>
      <c r="D3" s="14"/>
      <c r="E3" s="14"/>
      <c r="F3" s="14"/>
      <c r="G3" s="14"/>
    </row>
    <row r="4" spans="1:14" ht="14.4" x14ac:dyDescent="0.55000000000000004">
      <c r="A4" s="14"/>
      <c r="B4" s="14"/>
      <c r="C4" s="14"/>
      <c r="D4" s="14"/>
      <c r="E4" s="209"/>
      <c r="F4" s="14"/>
      <c r="G4" s="14"/>
    </row>
    <row r="5" spans="1:14" ht="14.4" x14ac:dyDescent="0.55000000000000004">
      <c r="A5" s="14"/>
      <c r="B5" s="14"/>
      <c r="C5" s="14"/>
      <c r="D5" s="14"/>
      <c r="E5" s="209"/>
      <c r="F5" s="14"/>
      <c r="G5" s="14"/>
    </row>
    <row r="6" spans="1:14" ht="14.4" x14ac:dyDescent="0.55000000000000004">
      <c r="A6" s="14"/>
      <c r="B6" s="14"/>
      <c r="C6" s="14"/>
      <c r="D6" s="209"/>
      <c r="E6" s="209"/>
      <c r="F6" s="14"/>
      <c r="G6" s="14"/>
    </row>
    <row r="7" spans="1:14" ht="14.4" x14ac:dyDescent="0.55000000000000004">
      <c r="A7" s="14"/>
      <c r="B7" s="14"/>
      <c r="C7" s="14"/>
      <c r="D7" s="209"/>
      <c r="E7" s="209"/>
      <c r="F7" s="14"/>
      <c r="G7" s="14"/>
    </row>
    <row r="8" spans="1:14" ht="14.4" x14ac:dyDescent="0.55000000000000004">
      <c r="A8" s="14"/>
      <c r="B8" s="14"/>
      <c r="C8" s="14"/>
      <c r="D8" s="209"/>
      <c r="E8" s="209"/>
      <c r="F8" s="14"/>
      <c r="G8" s="14"/>
    </row>
    <row r="9" spans="1:14" ht="14.4" x14ac:dyDescent="0.55000000000000004">
      <c r="A9" s="14"/>
      <c r="B9" s="14"/>
      <c r="C9" s="16"/>
      <c r="D9" s="209"/>
      <c r="E9" s="209"/>
      <c r="F9" s="14"/>
      <c r="G9" s="14"/>
    </row>
    <row r="10" spans="1:14" ht="32.4" x14ac:dyDescent="1.4">
      <c r="A10" s="14"/>
      <c r="B10" s="164" t="s">
        <v>272</v>
      </c>
      <c r="C10" s="17"/>
      <c r="D10" s="209"/>
      <c r="E10" s="18"/>
      <c r="F10" s="18"/>
      <c r="G10" s="14"/>
    </row>
    <row r="11" spans="1:14" ht="15.3" x14ac:dyDescent="0.7">
      <c r="A11" s="14"/>
      <c r="B11" s="18" t="s">
        <v>273</v>
      </c>
      <c r="C11" s="18"/>
      <c r="D11" s="209"/>
      <c r="E11" s="18"/>
      <c r="F11" s="18"/>
      <c r="G11" s="14"/>
    </row>
    <row r="12" spans="1:14" ht="15.3" x14ac:dyDescent="0.7">
      <c r="A12" s="14"/>
      <c r="B12" s="18"/>
      <c r="C12" s="18"/>
      <c r="D12" s="161"/>
      <c r="E12" s="18"/>
      <c r="F12" s="18"/>
      <c r="G12" s="14"/>
    </row>
    <row r="13" spans="1:14" ht="16.5" x14ac:dyDescent="0.75">
      <c r="A13" s="14"/>
      <c r="B13" s="63" t="s">
        <v>0</v>
      </c>
      <c r="C13" s="18"/>
      <c r="D13" s="161"/>
      <c r="E13" s="18"/>
      <c r="F13" s="18"/>
      <c r="G13" s="14"/>
    </row>
    <row r="14" spans="1:14" ht="15.3" x14ac:dyDescent="0.7">
      <c r="A14" s="14"/>
      <c r="B14" s="18"/>
      <c r="C14" s="18"/>
      <c r="D14" s="161"/>
      <c r="E14" s="18"/>
      <c r="F14" s="18"/>
      <c r="G14" s="14"/>
    </row>
    <row r="15" spans="1:14" ht="15.3" x14ac:dyDescent="0.7">
      <c r="A15" s="14"/>
      <c r="B15" s="18"/>
      <c r="C15" s="18"/>
      <c r="D15" s="161"/>
      <c r="E15" s="18"/>
      <c r="F15" s="18"/>
      <c r="G15" s="14"/>
    </row>
    <row r="16" spans="1:14" ht="15.3" x14ac:dyDescent="0.7">
      <c r="A16" s="14"/>
      <c r="B16" s="172" t="s">
        <v>1</v>
      </c>
      <c r="C16" s="18"/>
      <c r="D16" s="161"/>
      <c r="E16" s="18"/>
      <c r="F16" s="18"/>
      <c r="G16" s="14"/>
    </row>
    <row r="17" spans="1:13" ht="15.3" x14ac:dyDescent="0.7">
      <c r="A17" s="14"/>
      <c r="B17" s="24"/>
      <c r="C17" s="18"/>
      <c r="D17" s="161"/>
      <c r="E17" s="18"/>
      <c r="F17" s="18"/>
      <c r="G17" s="14"/>
    </row>
    <row r="18" spans="1:13" ht="15" customHeight="1" x14ac:dyDescent="0.7">
      <c r="A18" s="14"/>
      <c r="B18" s="14"/>
      <c r="C18" s="24"/>
      <c r="D18" s="209"/>
      <c r="E18" s="22"/>
      <c r="F18" s="109"/>
      <c r="G18" s="14"/>
    </row>
    <row r="19" spans="1:13" ht="15" customHeight="1" x14ac:dyDescent="0.7">
      <c r="A19" s="14"/>
      <c r="B19" s="14"/>
      <c r="C19" s="14"/>
      <c r="D19" s="209"/>
      <c r="E19" s="25"/>
      <c r="F19" s="18"/>
      <c r="G19" s="14"/>
    </row>
    <row r="20" spans="1:13" ht="14.4" hidden="1" x14ac:dyDescent="0.55000000000000004">
      <c r="A20" s="14"/>
      <c r="B20" s="14"/>
      <c r="C20" s="14"/>
      <c r="D20" s="209"/>
      <c r="E20" s="25"/>
      <c r="F20" s="25"/>
      <c r="G20" s="14"/>
    </row>
    <row r="21" spans="1:13" ht="14.4" hidden="1" x14ac:dyDescent="0.55000000000000004">
      <c r="A21" s="14"/>
      <c r="B21" s="14"/>
      <c r="C21" s="14"/>
      <c r="D21" s="24"/>
      <c r="E21" s="25"/>
      <c r="F21" s="14"/>
      <c r="G21" s="14"/>
    </row>
    <row r="22" spans="1:13" ht="14.4" hidden="1" x14ac:dyDescent="0.55000000000000004">
      <c r="A22" s="14"/>
      <c r="B22" s="14"/>
      <c r="C22" s="14"/>
      <c r="D22" s="25"/>
      <c r="E22" s="25"/>
      <c r="F22" s="14"/>
      <c r="G22" s="14"/>
    </row>
    <row r="23" spans="1:13" ht="14.4" hidden="1" x14ac:dyDescent="0.55000000000000004">
      <c r="A23" s="14"/>
      <c r="B23" s="14"/>
      <c r="C23" s="14"/>
      <c r="D23" s="25"/>
      <c r="E23" s="25"/>
      <c r="F23" s="14"/>
      <c r="G23" s="14"/>
    </row>
    <row r="24" spans="1:13" ht="14.4" hidden="1" x14ac:dyDescent="0.55000000000000004">
      <c r="A24" s="14"/>
      <c r="B24" s="14"/>
      <c r="C24" s="14"/>
      <c r="D24" s="27"/>
      <c r="E24" s="25"/>
      <c r="F24" s="14"/>
      <c r="G24" s="14"/>
    </row>
    <row r="25" spans="1:13" ht="14.4" hidden="1" x14ac:dyDescent="0.55000000000000004">
      <c r="A25" s="14"/>
      <c r="B25" s="14"/>
      <c r="C25" s="14"/>
      <c r="D25" s="27"/>
      <c r="E25" s="14"/>
      <c r="F25" s="14"/>
      <c r="G25" s="14"/>
    </row>
    <row r="26" spans="1:13" ht="14.4" hidden="1" x14ac:dyDescent="0.55000000000000004">
      <c r="A26" s="14"/>
      <c r="B26" s="14"/>
      <c r="C26" s="14"/>
      <c r="D26" s="27"/>
      <c r="E26" s="14"/>
      <c r="F26" s="14"/>
      <c r="G26" s="14"/>
    </row>
    <row r="27" spans="1:13" ht="14.4" hidden="1" x14ac:dyDescent="0.55000000000000004">
      <c r="A27" s="14"/>
      <c r="B27" s="14"/>
      <c r="C27" s="14"/>
      <c r="D27" s="28"/>
      <c r="E27" s="14"/>
      <c r="F27" s="14"/>
      <c r="G27" s="14"/>
    </row>
    <row r="28" spans="1:13" ht="14.4" hidden="1" x14ac:dyDescent="0.55000000000000004">
      <c r="A28" s="14"/>
      <c r="B28" s="14"/>
      <c r="C28" s="14"/>
      <c r="D28" s="28"/>
      <c r="E28" s="14"/>
      <c r="F28" s="14"/>
      <c r="G28" s="14"/>
    </row>
    <row r="29" spans="1:13" ht="14.4" hidden="1" x14ac:dyDescent="0.55000000000000004">
      <c r="A29" s="14"/>
      <c r="B29" s="14"/>
      <c r="C29" s="14"/>
      <c r="D29" s="28"/>
      <c r="E29" s="14"/>
      <c r="F29" s="14"/>
      <c r="G29" s="14"/>
      <c r="L29"/>
    </row>
    <row r="30" spans="1:13" ht="14.4" hidden="1" x14ac:dyDescent="0.55000000000000004">
      <c r="A30" s="14"/>
      <c r="B30" s="14"/>
      <c r="C30" s="14"/>
      <c r="D30" s="14"/>
      <c r="E30" s="14"/>
      <c r="F30" s="14"/>
      <c r="G30" s="14"/>
    </row>
    <row r="31" spans="1:13" ht="14.4" hidden="1" x14ac:dyDescent="0.55000000000000004">
      <c r="A31" s="14"/>
      <c r="C31" s="14"/>
      <c r="D31" s="14"/>
      <c r="E31" s="14"/>
      <c r="F31" s="14"/>
      <c r="G31" s="14"/>
      <c r="M31" s="3"/>
    </row>
  </sheetData>
  <sheetProtection algorithmName="SHA-512" hashValue="xfSZCZ/6WO/+ywrnNqNLRsPQ5nz3MEve/mXa8v9i8FhFBWZNmm4E8KmaOoa7Z7TdfGv3Mw8i7M68cdh3APN8OQ==" saltValue="rKxuyvqeuNMMuXGLRmPD3A==" spinCount="100000" sheet="1" formatCells="0"/>
  <mergeCells count="3">
    <mergeCell ref="E4:E9"/>
    <mergeCell ref="D6:D11"/>
    <mergeCell ref="D18:D20"/>
  </mergeCells>
  <pageMargins left="0.7" right="0.7" top="0.75" bottom="0.75" header="0.3" footer="0.3"/>
  <pageSetup paperSize="9" orientation="landscape" r:id="rId1"/>
  <headerFooter>
    <oddFooter>&amp;C_x000D_&amp;1#&amp;"Calibri"&amp;10&amp;KFF7900 Orange Restricted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5CC5-9808-4DA5-9C18-CA60F9116882}">
  <dimension ref="A1:H64"/>
  <sheetViews>
    <sheetView topLeftCell="A34" zoomScale="130" zoomScaleNormal="130" workbookViewId="0">
      <selection activeCell="B10" sqref="B10"/>
    </sheetView>
  </sheetViews>
  <sheetFormatPr defaultColWidth="0" defaultRowHeight="15.3" zeroHeight="1" x14ac:dyDescent="0.7"/>
  <cols>
    <col min="1" max="1" width="8.5234375" style="12" customWidth="1"/>
    <col min="2" max="2" width="9.1015625" style="11" customWidth="1"/>
    <col min="3" max="3" width="22.5234375" style="11" customWidth="1"/>
    <col min="4" max="4" width="58.1015625" style="11" customWidth="1"/>
    <col min="5" max="5" width="9.1015625" style="11" customWidth="1"/>
    <col min="6" max="6" width="8.89453125" style="11" customWidth="1"/>
    <col min="7" max="7" width="36.89453125" style="13" bestFit="1" customWidth="1"/>
    <col min="8" max="8" width="8.5234375" style="11" customWidth="1"/>
    <col min="9" max="16384" width="9.1015625" style="11" hidden="1"/>
  </cols>
  <sheetData>
    <row r="1" spans="1:8" s="12" customFormat="1" x14ac:dyDescent="0.7">
      <c r="A1" s="18"/>
      <c r="B1" s="18"/>
      <c r="C1" s="18"/>
      <c r="D1" s="18"/>
      <c r="E1" s="18"/>
      <c r="F1" s="18"/>
      <c r="G1" s="83"/>
      <c r="H1" s="18"/>
    </row>
    <row r="2" spans="1:8" s="12" customFormat="1" x14ac:dyDescent="0.7">
      <c r="A2" s="18"/>
      <c r="B2" s="18"/>
      <c r="C2" s="18"/>
      <c r="D2" s="18"/>
      <c r="E2" s="18"/>
      <c r="F2" s="18"/>
      <c r="G2" s="83"/>
      <c r="H2" s="18"/>
    </row>
    <row r="3" spans="1:8" s="12" customFormat="1" x14ac:dyDescent="0.7">
      <c r="A3" s="18"/>
      <c r="B3" s="18"/>
      <c r="C3" s="18"/>
      <c r="D3" s="18"/>
      <c r="E3" s="18"/>
      <c r="F3" s="18"/>
      <c r="G3" s="83"/>
      <c r="H3" s="18"/>
    </row>
    <row r="4" spans="1:8" s="12" customFormat="1" x14ac:dyDescent="0.7">
      <c r="A4" s="18"/>
      <c r="B4" s="18"/>
      <c r="C4" s="18"/>
      <c r="D4" s="18"/>
      <c r="E4" s="18"/>
      <c r="F4" s="18"/>
      <c r="G4" s="83"/>
      <c r="H4" s="18"/>
    </row>
    <row r="5" spans="1:8" s="12" customFormat="1" x14ac:dyDescent="0.7">
      <c r="A5" s="18"/>
      <c r="B5" s="18"/>
      <c r="C5" s="18"/>
      <c r="D5" s="18"/>
      <c r="E5" s="18"/>
      <c r="F5" s="18"/>
      <c r="G5" s="83"/>
      <c r="H5" s="18"/>
    </row>
    <row r="6" spans="1:8" s="12" customFormat="1" x14ac:dyDescent="0.7">
      <c r="A6" s="18"/>
      <c r="B6" s="18"/>
      <c r="C6" s="18"/>
      <c r="D6" s="18"/>
      <c r="E6" s="18"/>
      <c r="F6" s="18"/>
      <c r="G6" s="83"/>
      <c r="H6" s="18"/>
    </row>
    <row r="7" spans="1:8" s="12" customFormat="1" x14ac:dyDescent="0.7">
      <c r="A7" s="18"/>
      <c r="B7" s="18"/>
      <c r="C7" s="18"/>
      <c r="D7" s="18"/>
      <c r="E7" s="18"/>
      <c r="F7" s="18"/>
      <c r="G7" s="83"/>
      <c r="H7" s="18"/>
    </row>
    <row r="8" spans="1:8" s="12" customFormat="1" x14ac:dyDescent="0.7">
      <c r="A8" s="18"/>
      <c r="B8" s="18"/>
      <c r="C8" s="18"/>
      <c r="D8" s="18"/>
      <c r="E8" s="18"/>
      <c r="F8" s="18"/>
      <c r="G8" s="83"/>
      <c r="H8" s="18"/>
    </row>
    <row r="9" spans="1:8" s="12" customFormat="1" x14ac:dyDescent="0.7">
      <c r="A9" s="18"/>
      <c r="B9" s="18"/>
      <c r="C9" s="18"/>
      <c r="D9" s="18"/>
      <c r="E9" s="18"/>
      <c r="F9" s="175"/>
      <c r="G9" s="83"/>
      <c r="H9" s="18"/>
    </row>
    <row r="10" spans="1:8" s="12" customFormat="1" ht="16.5" x14ac:dyDescent="0.75">
      <c r="A10" s="18"/>
      <c r="B10" s="63" t="s">
        <v>2</v>
      </c>
      <c r="C10" s="18"/>
      <c r="D10" s="174"/>
      <c r="E10" s="173"/>
      <c r="F10" s="83"/>
      <c r="G10" s="18"/>
      <c r="H10" s="18"/>
    </row>
    <row r="11" spans="1:8" s="12" customFormat="1" ht="15.6" thickBot="1" x14ac:dyDescent="0.75">
      <c r="A11" s="18"/>
      <c r="B11" s="18"/>
      <c r="C11" s="18"/>
      <c r="D11" s="18"/>
      <c r="E11" s="18"/>
      <c r="F11" s="18"/>
      <c r="G11" s="83"/>
      <c r="H11" s="18"/>
    </row>
    <row r="12" spans="1:8" s="12" customFormat="1" x14ac:dyDescent="0.7">
      <c r="A12" s="18"/>
      <c r="B12" s="96" t="s">
        <v>3</v>
      </c>
      <c r="C12" s="97"/>
      <c r="D12" s="97" t="s">
        <v>4</v>
      </c>
      <c r="E12" s="97"/>
      <c r="F12" s="97"/>
      <c r="G12" s="98" t="s">
        <v>5</v>
      </c>
      <c r="H12" s="18"/>
    </row>
    <row r="13" spans="1:8" s="12" customFormat="1" x14ac:dyDescent="0.7">
      <c r="A13" s="18"/>
      <c r="B13" s="84" t="s">
        <v>259</v>
      </c>
      <c r="C13" s="17"/>
      <c r="D13" s="22" t="s">
        <v>6</v>
      </c>
      <c r="E13" s="22"/>
      <c r="F13" s="22"/>
      <c r="G13" s="85" t="s">
        <v>7</v>
      </c>
      <c r="H13" s="18"/>
    </row>
    <row r="14" spans="1:8" s="12" customFormat="1" x14ac:dyDescent="0.7">
      <c r="A14" s="18"/>
      <c r="B14" s="84" t="s">
        <v>260</v>
      </c>
      <c r="C14" s="22"/>
      <c r="D14" s="22" t="s">
        <v>8</v>
      </c>
      <c r="E14" s="22"/>
      <c r="F14" s="22"/>
      <c r="G14" s="85">
        <v>123456</v>
      </c>
      <c r="H14" s="18"/>
    </row>
    <row r="15" spans="1:8" s="12" customFormat="1" x14ac:dyDescent="0.7">
      <c r="A15" s="18"/>
      <c r="B15" s="84" t="s">
        <v>261</v>
      </c>
      <c r="C15" s="17"/>
      <c r="D15" s="22" t="s">
        <v>9</v>
      </c>
      <c r="E15" s="22"/>
      <c r="F15" s="22"/>
      <c r="G15" s="85" t="s">
        <v>10</v>
      </c>
      <c r="H15" s="18"/>
    </row>
    <row r="16" spans="1:8" s="12" customFormat="1" x14ac:dyDescent="0.7">
      <c r="A16" s="18"/>
      <c r="B16" s="84"/>
      <c r="C16" s="17"/>
      <c r="D16" s="86" t="s">
        <v>11</v>
      </c>
      <c r="E16" s="22"/>
      <c r="F16" s="22"/>
      <c r="G16" s="85"/>
      <c r="H16" s="18"/>
    </row>
    <row r="17" spans="1:8" s="12" customFormat="1" x14ac:dyDescent="0.7">
      <c r="A17" s="18"/>
      <c r="B17" s="84" t="s">
        <v>262</v>
      </c>
      <c r="C17" s="17"/>
      <c r="D17" s="22" t="s">
        <v>12</v>
      </c>
      <c r="E17" s="22"/>
      <c r="F17" s="22"/>
      <c r="G17" s="85" t="s">
        <v>13</v>
      </c>
      <c r="H17" s="18"/>
    </row>
    <row r="18" spans="1:8" s="12" customFormat="1" x14ac:dyDescent="0.7">
      <c r="A18" s="18"/>
      <c r="B18" s="84" t="s">
        <v>14</v>
      </c>
      <c r="C18" s="17"/>
      <c r="D18" s="22" t="s">
        <v>15</v>
      </c>
      <c r="E18" s="22"/>
      <c r="F18" s="22"/>
      <c r="G18" s="85" t="s">
        <v>16</v>
      </c>
      <c r="H18" s="18"/>
    </row>
    <row r="19" spans="1:8" s="12" customFormat="1" hidden="1" x14ac:dyDescent="0.7">
      <c r="A19" s="18"/>
      <c r="B19" s="84" t="s">
        <v>17</v>
      </c>
      <c r="C19" s="17"/>
      <c r="D19" s="22" t="s">
        <v>18</v>
      </c>
      <c r="E19" s="22"/>
      <c r="F19" s="22"/>
      <c r="G19" s="85"/>
      <c r="H19" s="18"/>
    </row>
    <row r="20" spans="1:8" s="12" customFormat="1" x14ac:dyDescent="0.7">
      <c r="A20" s="18"/>
      <c r="B20" s="84" t="s">
        <v>19</v>
      </c>
      <c r="C20" s="17"/>
      <c r="D20" s="22" t="s">
        <v>20</v>
      </c>
      <c r="E20" s="22"/>
      <c r="F20" s="22"/>
      <c r="G20" s="85" t="s">
        <v>21</v>
      </c>
      <c r="H20" s="18"/>
    </row>
    <row r="21" spans="1:8" s="12" customFormat="1" x14ac:dyDescent="0.7">
      <c r="A21" s="18"/>
      <c r="B21" s="84" t="s">
        <v>263</v>
      </c>
      <c r="C21" s="22"/>
      <c r="D21" s="22" t="s">
        <v>22</v>
      </c>
      <c r="E21" s="22"/>
      <c r="F21" s="22"/>
      <c r="G21" s="85">
        <v>567890</v>
      </c>
      <c r="H21" s="18"/>
    </row>
    <row r="22" spans="1:8" s="12" customFormat="1" x14ac:dyDescent="0.7">
      <c r="A22" s="18"/>
      <c r="B22" s="84" t="s">
        <v>264</v>
      </c>
      <c r="C22" s="17"/>
      <c r="D22" s="22" t="s">
        <v>23</v>
      </c>
      <c r="E22" s="22"/>
      <c r="F22" s="22"/>
      <c r="G22" s="85" t="s">
        <v>24</v>
      </c>
      <c r="H22" s="18"/>
    </row>
    <row r="23" spans="1:8" s="12" customFormat="1" x14ac:dyDescent="0.7">
      <c r="A23" s="18"/>
      <c r="B23" s="84" t="s">
        <v>262</v>
      </c>
      <c r="C23" s="17"/>
      <c r="D23" s="22" t="s">
        <v>25</v>
      </c>
      <c r="E23" s="22"/>
      <c r="F23" s="22"/>
      <c r="G23" s="85" t="s">
        <v>13</v>
      </c>
      <c r="H23" s="18"/>
    </row>
    <row r="24" spans="1:8" s="12" customFormat="1" x14ac:dyDescent="0.7">
      <c r="A24" s="18"/>
      <c r="B24" s="84" t="s">
        <v>14</v>
      </c>
      <c r="C24" s="17"/>
      <c r="D24" s="22" t="s">
        <v>26</v>
      </c>
      <c r="E24" s="22"/>
      <c r="F24" s="22"/>
      <c r="G24" s="85" t="s">
        <v>27</v>
      </c>
      <c r="H24" s="18"/>
    </row>
    <row r="25" spans="1:8" s="12" customFormat="1" x14ac:dyDescent="0.7">
      <c r="A25" s="18"/>
      <c r="B25" s="84" t="s">
        <v>28</v>
      </c>
      <c r="C25" s="17"/>
      <c r="D25" s="22" t="s">
        <v>29</v>
      </c>
      <c r="E25" s="22"/>
      <c r="F25" s="22"/>
      <c r="G25" s="85" t="s">
        <v>30</v>
      </c>
      <c r="H25" s="18"/>
    </row>
    <row r="26" spans="1:8" s="12" customFormat="1" x14ac:dyDescent="0.7">
      <c r="A26" s="18"/>
      <c r="B26" s="84"/>
      <c r="C26" s="17"/>
      <c r="D26" s="86" t="s">
        <v>280</v>
      </c>
      <c r="E26" s="22"/>
      <c r="F26" s="22"/>
      <c r="G26" s="85"/>
      <c r="H26" s="18"/>
    </row>
    <row r="27" spans="1:8" s="12" customFormat="1" x14ac:dyDescent="0.7">
      <c r="A27" s="18"/>
      <c r="B27" s="84" t="s">
        <v>265</v>
      </c>
      <c r="C27" s="87"/>
      <c r="D27" s="22" t="s">
        <v>31</v>
      </c>
      <c r="E27" s="22"/>
      <c r="F27" s="22"/>
      <c r="G27" s="88" t="s">
        <v>32</v>
      </c>
      <c r="H27" s="18"/>
    </row>
    <row r="28" spans="1:8" s="12" customFormat="1" x14ac:dyDescent="0.7">
      <c r="A28" s="18"/>
      <c r="B28" s="84" t="s">
        <v>266</v>
      </c>
      <c r="C28" s="17"/>
      <c r="D28" s="22" t="s">
        <v>33</v>
      </c>
      <c r="E28" s="22"/>
      <c r="F28" s="22"/>
      <c r="G28" s="85" t="s">
        <v>34</v>
      </c>
      <c r="H28" s="18"/>
    </row>
    <row r="29" spans="1:8" s="12" customFormat="1" x14ac:dyDescent="0.7">
      <c r="A29" s="18"/>
      <c r="B29" s="84" t="s">
        <v>267</v>
      </c>
      <c r="C29" s="17"/>
      <c r="D29" s="22" t="s">
        <v>35</v>
      </c>
      <c r="E29" s="22"/>
      <c r="F29" s="22"/>
      <c r="G29" s="85" t="s">
        <v>36</v>
      </c>
      <c r="H29" s="18"/>
    </row>
    <row r="30" spans="1:8" s="12" customFormat="1" ht="15.6" thickBot="1" x14ac:dyDescent="0.75">
      <c r="A30" s="18"/>
      <c r="B30" s="89" t="s">
        <v>268</v>
      </c>
      <c r="C30" s="90"/>
      <c r="D30" s="91" t="s">
        <v>279</v>
      </c>
      <c r="E30" s="91"/>
      <c r="F30" s="91"/>
      <c r="G30" s="92" t="s">
        <v>37</v>
      </c>
      <c r="H30" s="18"/>
    </row>
    <row r="31" spans="1:8" x14ac:dyDescent="0.7">
      <c r="A31" s="18"/>
      <c r="B31" s="190" t="s">
        <v>258</v>
      </c>
      <c r="C31" s="22"/>
      <c r="D31" s="22"/>
      <c r="E31" s="22"/>
      <c r="F31" s="22"/>
      <c r="G31" s="93"/>
      <c r="H31" s="18"/>
    </row>
    <row r="32" spans="1:8" x14ac:dyDescent="0.7">
      <c r="A32" s="18"/>
      <c r="B32" s="94"/>
      <c r="C32" s="95"/>
      <c r="D32" s="22"/>
      <c r="E32" s="22"/>
      <c r="F32" s="22"/>
      <c r="G32" s="93"/>
      <c r="H32" s="18"/>
    </row>
    <row r="33" spans="1:8" x14ac:dyDescent="0.7">
      <c r="A33" s="18"/>
      <c r="B33" s="99" t="s">
        <v>38</v>
      </c>
      <c r="C33" s="100"/>
      <c r="D33" s="22"/>
      <c r="E33" s="22"/>
      <c r="F33" s="22"/>
      <c r="G33" s="93"/>
      <c r="H33" s="18"/>
    </row>
    <row r="34" spans="1:8" x14ac:dyDescent="0.7">
      <c r="A34" s="18"/>
      <c r="B34" s="189" t="s">
        <v>39</v>
      </c>
      <c r="C34" s="22"/>
      <c r="D34" s="22"/>
      <c r="E34" s="22"/>
      <c r="F34" s="22"/>
      <c r="G34" s="93"/>
      <c r="H34" s="18"/>
    </row>
    <row r="35" spans="1:8" x14ac:dyDescent="0.7">
      <c r="A35" s="18"/>
      <c r="B35" s="22"/>
      <c r="C35" s="22"/>
      <c r="D35" s="22"/>
      <c r="E35" s="22"/>
      <c r="F35" s="22"/>
      <c r="G35" s="93"/>
      <c r="H35" s="18"/>
    </row>
    <row r="36" spans="1:8" x14ac:dyDescent="0.7">
      <c r="A36" s="18"/>
      <c r="B36" s="22" t="s">
        <v>40</v>
      </c>
      <c r="C36" s="22"/>
      <c r="D36" s="22"/>
      <c r="E36" s="22"/>
      <c r="F36" s="22"/>
      <c r="G36" s="93"/>
      <c r="H36" s="18"/>
    </row>
    <row r="37" spans="1:8" x14ac:dyDescent="0.7">
      <c r="A37" s="18"/>
      <c r="B37" s="22" t="s">
        <v>276</v>
      </c>
      <c r="C37" s="22"/>
      <c r="D37" s="22"/>
      <c r="E37" s="22"/>
      <c r="F37" s="22"/>
      <c r="G37" s="93"/>
      <c r="H37" s="18"/>
    </row>
    <row r="38" spans="1:8" x14ac:dyDescent="0.7">
      <c r="A38" s="18"/>
      <c r="B38" s="22" t="s">
        <v>277</v>
      </c>
      <c r="C38" s="22"/>
      <c r="D38" s="22"/>
      <c r="E38" s="22"/>
      <c r="F38" s="22"/>
      <c r="G38" s="93"/>
      <c r="H38" s="18"/>
    </row>
    <row r="39" spans="1:8" x14ac:dyDescent="0.7">
      <c r="A39" s="18"/>
      <c r="B39" s="22" t="s">
        <v>41</v>
      </c>
      <c r="C39" s="18"/>
      <c r="D39" s="18"/>
      <c r="E39" s="22"/>
      <c r="F39" s="22"/>
      <c r="G39" s="93"/>
      <c r="H39" s="18"/>
    </row>
    <row r="40" spans="1:8" x14ac:dyDescent="0.7">
      <c r="A40" s="18"/>
      <c r="B40" s="22"/>
      <c r="C40" s="22"/>
      <c r="D40" s="22"/>
      <c r="E40" s="22"/>
      <c r="F40" s="22"/>
      <c r="G40" s="93"/>
      <c r="H40" s="18"/>
    </row>
    <row r="41" spans="1:8" x14ac:dyDescent="0.7">
      <c r="A41" s="18"/>
      <c r="B41" s="99" t="s">
        <v>42</v>
      </c>
      <c r="C41" s="99"/>
      <c r="D41" s="22"/>
      <c r="E41" s="22"/>
      <c r="F41" s="22"/>
      <c r="G41" s="93"/>
      <c r="H41" s="18"/>
    </row>
    <row r="42" spans="1:8" x14ac:dyDescent="0.7">
      <c r="A42" s="18"/>
      <c r="B42" s="189" t="s">
        <v>43</v>
      </c>
      <c r="C42" s="22"/>
      <c r="D42" s="22"/>
      <c r="E42" s="22"/>
      <c r="F42" s="22"/>
      <c r="G42" s="93"/>
      <c r="H42" s="18"/>
    </row>
    <row r="43" spans="1:8" x14ac:dyDescent="0.7">
      <c r="A43" s="18"/>
      <c r="B43" s="22"/>
      <c r="C43" s="22"/>
      <c r="D43" s="22"/>
      <c r="E43" s="22"/>
      <c r="F43" s="22"/>
      <c r="G43" s="93"/>
      <c r="H43" s="18"/>
    </row>
    <row r="44" spans="1:8" x14ac:dyDescent="0.7">
      <c r="A44" s="18"/>
      <c r="B44" s="22" t="s">
        <v>269</v>
      </c>
      <c r="C44" s="22"/>
      <c r="D44" s="22"/>
      <c r="E44" s="22"/>
      <c r="F44" s="22"/>
      <c r="G44" s="93"/>
      <c r="H44" s="18"/>
    </row>
    <row r="45" spans="1:8" x14ac:dyDescent="0.7">
      <c r="A45" s="18"/>
      <c r="B45" s="191" t="s">
        <v>270</v>
      </c>
      <c r="C45" s="22"/>
      <c r="D45" s="22"/>
      <c r="E45" s="22"/>
      <c r="F45" s="22"/>
      <c r="G45" s="93"/>
      <c r="H45" s="18"/>
    </row>
    <row r="46" spans="1:8" x14ac:dyDescent="0.7">
      <c r="A46" s="18"/>
      <c r="B46" s="22" t="s">
        <v>44</v>
      </c>
      <c r="C46" s="22"/>
      <c r="D46" s="22"/>
      <c r="E46" s="22"/>
      <c r="F46" s="22"/>
      <c r="G46" s="93"/>
      <c r="H46" s="18"/>
    </row>
    <row r="47" spans="1:8" x14ac:dyDescent="0.7">
      <c r="A47" s="18"/>
      <c r="B47" s="22" t="s">
        <v>45</v>
      </c>
      <c r="C47" s="22"/>
      <c r="D47" s="22"/>
      <c r="E47" s="22"/>
      <c r="F47" s="22"/>
      <c r="G47" s="93"/>
      <c r="H47" s="18"/>
    </row>
    <row r="48" spans="1:8" x14ac:dyDescent="0.7">
      <c r="A48" s="18"/>
      <c r="B48" s="22" t="s">
        <v>46</v>
      </c>
      <c r="C48" s="22"/>
      <c r="D48" s="22"/>
      <c r="E48" s="22"/>
      <c r="F48" s="22"/>
      <c r="G48" s="93"/>
      <c r="H48" s="18"/>
    </row>
    <row r="49" spans="1:8" x14ac:dyDescent="0.7">
      <c r="A49" s="18" t="s">
        <v>47</v>
      </c>
      <c r="B49" s="22" t="s">
        <v>48</v>
      </c>
      <c r="C49" s="22"/>
      <c r="D49" s="22"/>
      <c r="E49" s="22"/>
      <c r="F49" s="22"/>
      <c r="G49" s="93"/>
      <c r="H49" s="18"/>
    </row>
    <row r="50" spans="1:8" x14ac:dyDescent="0.7">
      <c r="A50" s="18"/>
      <c r="B50" s="22" t="s">
        <v>49</v>
      </c>
      <c r="C50" s="22"/>
      <c r="D50" s="22"/>
      <c r="E50" s="22"/>
      <c r="F50" s="22"/>
      <c r="G50" s="93"/>
      <c r="H50" s="18"/>
    </row>
    <row r="51" spans="1:8" x14ac:dyDescent="0.7">
      <c r="A51" s="18"/>
      <c r="B51" s="22" t="s">
        <v>50</v>
      </c>
      <c r="C51" s="22"/>
      <c r="D51" s="22"/>
      <c r="E51" s="22"/>
      <c r="F51" s="22"/>
      <c r="G51" s="93"/>
      <c r="H51" s="18"/>
    </row>
    <row r="52" spans="1:8" x14ac:dyDescent="0.7">
      <c r="A52" s="18"/>
      <c r="B52" s="192" t="s">
        <v>278</v>
      </c>
      <c r="C52" s="22"/>
      <c r="D52" s="22"/>
      <c r="E52" s="22"/>
      <c r="F52" s="22"/>
      <c r="G52" s="93"/>
      <c r="H52" s="18"/>
    </row>
    <row r="53" spans="1:8" x14ac:dyDescent="0.7">
      <c r="A53" s="18"/>
      <c r="B53" s="192"/>
      <c r="C53" s="22"/>
      <c r="D53" s="22"/>
      <c r="E53" s="22"/>
      <c r="F53" s="22"/>
      <c r="G53" s="93"/>
      <c r="H53" s="18"/>
    </row>
    <row r="54" spans="1:8" x14ac:dyDescent="0.7">
      <c r="A54" s="18"/>
      <c r="B54" s="22"/>
      <c r="C54" s="22"/>
      <c r="D54" s="22"/>
      <c r="E54" s="22"/>
      <c r="F54" s="22"/>
      <c r="G54" s="93"/>
      <c r="H54" s="18"/>
    </row>
    <row r="55" spans="1:8" hidden="1" x14ac:dyDescent="0.7">
      <c r="A55" s="18"/>
      <c r="B55" s="18"/>
      <c r="C55" s="18"/>
      <c r="D55" s="18"/>
      <c r="E55" s="18"/>
      <c r="F55" s="18"/>
      <c r="G55" s="83"/>
      <c r="H55" s="18"/>
    </row>
    <row r="56" spans="1:8" hidden="1" x14ac:dyDescent="0.7">
      <c r="A56" s="18"/>
      <c r="B56" s="18"/>
      <c r="C56" s="18"/>
      <c r="D56" s="18"/>
      <c r="E56" s="18"/>
      <c r="F56" s="18"/>
      <c r="G56" s="83"/>
      <c r="H56" s="18"/>
    </row>
    <row r="57" spans="1:8" hidden="1" x14ac:dyDescent="0.7">
      <c r="A57" s="18"/>
      <c r="B57" s="18"/>
      <c r="C57" s="18"/>
      <c r="D57" s="18"/>
      <c r="E57" s="18"/>
      <c r="F57" s="18"/>
      <c r="G57" s="83"/>
      <c r="H57" s="18"/>
    </row>
    <row r="64" spans="1:8" x14ac:dyDescent="0.7"/>
  </sheetData>
  <sheetProtection algorithmName="SHA-512" hashValue="LZdEUff+R0RUPxRIGT01/peQa8l6f7Yn+O6rJ5KMOdWWrw+dDDd7xlGQSXZ1jV6qwZG5yVPkIAXSrYGnuJP9bw==" saltValue="+PqMVHvdzo4Op25t8KeVRA==" spinCount="100000" sheet="1" objects="1" scenarios="1"/>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2FDF-A4DE-4704-A12B-4118291FED0E}">
  <dimension ref="A1:O68"/>
  <sheetViews>
    <sheetView topLeftCell="A7" zoomScale="130" zoomScaleNormal="130" workbookViewId="0">
      <selection activeCell="D27" sqref="D27:D32"/>
    </sheetView>
  </sheetViews>
  <sheetFormatPr defaultColWidth="0" defaultRowHeight="14.4" zeroHeight="1" x14ac:dyDescent="0.55000000000000004"/>
  <cols>
    <col min="1" max="1" width="8.5234375" style="1" customWidth="1"/>
    <col min="2" max="2" width="28.5234375" style="1" customWidth="1"/>
    <col min="3" max="3" width="36.5234375" style="1" customWidth="1"/>
    <col min="4" max="4" width="29.1015625" style="1" customWidth="1"/>
    <col min="5" max="5" width="23.3125" style="1" bestFit="1" customWidth="1"/>
    <col min="6" max="6" width="28.68359375" style="1" customWidth="1"/>
    <col min="7" max="7" width="8.5234375" style="1" customWidth="1"/>
    <col min="8" max="8" width="10.89453125" style="1" hidden="1" customWidth="1"/>
    <col min="9" max="9" width="24.89453125" style="1" hidden="1" customWidth="1"/>
    <col min="10" max="10" width="20.68359375" style="1" hidden="1" customWidth="1"/>
    <col min="11" max="12" width="19.5234375" style="1" hidden="1" customWidth="1"/>
    <col min="13" max="13" width="22.68359375" style="1" hidden="1" customWidth="1"/>
    <col min="14" max="14" width="17.68359375" style="1" hidden="1" customWidth="1"/>
    <col min="15" max="15" width="38.3125" style="1" hidden="1" customWidth="1"/>
    <col min="16" max="16384" width="8.89453125" style="1" hidden="1"/>
  </cols>
  <sheetData>
    <row r="1" spans="1:14" x14ac:dyDescent="0.55000000000000004">
      <c r="A1" s="14"/>
      <c r="B1" s="15"/>
      <c r="C1" s="15"/>
      <c r="D1" s="14"/>
      <c r="E1" s="14"/>
      <c r="F1" s="14"/>
      <c r="G1" s="14"/>
      <c r="H1" s="4"/>
      <c r="I1" s="4"/>
      <c r="J1" s="2"/>
      <c r="K1" s="2"/>
      <c r="L1" s="2"/>
      <c r="M1" s="2"/>
      <c r="N1" s="2"/>
    </row>
    <row r="2" spans="1:14" x14ac:dyDescent="0.55000000000000004">
      <c r="A2" s="14"/>
      <c r="B2" s="14"/>
      <c r="C2" s="14"/>
      <c r="D2" s="14"/>
      <c r="E2" s="14"/>
      <c r="F2" s="14"/>
      <c r="G2" s="14"/>
    </row>
    <row r="3" spans="1:14" x14ac:dyDescent="0.55000000000000004">
      <c r="A3" s="14"/>
      <c r="B3" s="14"/>
      <c r="C3" s="14"/>
      <c r="D3" s="14"/>
      <c r="E3" s="14"/>
      <c r="F3" s="14"/>
      <c r="G3" s="14"/>
    </row>
    <row r="4" spans="1:14" x14ac:dyDescent="0.55000000000000004">
      <c r="A4" s="14"/>
      <c r="B4" s="14"/>
      <c r="C4" s="14"/>
      <c r="D4" s="14"/>
      <c r="E4" s="209"/>
      <c r="F4" s="14"/>
      <c r="G4" s="14"/>
    </row>
    <row r="5" spans="1:14" x14ac:dyDescent="0.55000000000000004">
      <c r="A5" s="14"/>
      <c r="B5" s="14"/>
      <c r="C5" s="14"/>
      <c r="D5" s="14"/>
      <c r="E5" s="209"/>
      <c r="F5" s="14"/>
      <c r="G5" s="14"/>
    </row>
    <row r="6" spans="1:14" x14ac:dyDescent="0.55000000000000004">
      <c r="A6" s="14"/>
      <c r="B6" s="14"/>
      <c r="C6" s="14"/>
      <c r="D6" s="209"/>
      <c r="E6" s="209"/>
      <c r="F6" s="14"/>
      <c r="G6" s="14"/>
    </row>
    <row r="7" spans="1:14" x14ac:dyDescent="0.55000000000000004">
      <c r="A7" s="14"/>
      <c r="B7" s="14"/>
      <c r="C7" s="14"/>
      <c r="D7" s="209"/>
      <c r="E7" s="209"/>
      <c r="F7" s="14"/>
      <c r="G7" s="14"/>
    </row>
    <row r="8" spans="1:14" x14ac:dyDescent="0.55000000000000004">
      <c r="A8" s="14"/>
      <c r="B8" s="14"/>
      <c r="C8" s="14"/>
      <c r="D8" s="209"/>
      <c r="E8" s="209"/>
      <c r="F8" s="14"/>
      <c r="G8" s="14"/>
    </row>
    <row r="9" spans="1:14" x14ac:dyDescent="0.55000000000000004">
      <c r="A9" s="14"/>
      <c r="B9" s="14"/>
      <c r="C9" s="16"/>
      <c r="D9" s="209"/>
      <c r="E9" s="209"/>
      <c r="F9" s="14"/>
      <c r="G9" s="14"/>
    </row>
    <row r="10" spans="1:14" ht="16.5" x14ac:dyDescent="0.75">
      <c r="A10" s="14"/>
      <c r="B10" s="118" t="s">
        <v>51</v>
      </c>
      <c r="C10" s="17"/>
      <c r="D10" s="209"/>
      <c r="E10" s="18"/>
      <c r="F10" s="18"/>
      <c r="G10" s="14"/>
    </row>
    <row r="11" spans="1:14" ht="15.6" thickBot="1" x14ac:dyDescent="0.75">
      <c r="A11" s="14"/>
      <c r="B11" s="18"/>
      <c r="C11" s="18"/>
      <c r="D11" s="209"/>
      <c r="E11" s="18"/>
      <c r="F11" s="18"/>
      <c r="G11" s="14"/>
    </row>
    <row r="12" spans="1:14" ht="15" customHeight="1" thickTop="1" thickBot="1" x14ac:dyDescent="0.65">
      <c r="A12" s="14"/>
      <c r="B12" s="119" t="s">
        <v>52</v>
      </c>
      <c r="C12" s="110" t="s">
        <v>53</v>
      </c>
      <c r="D12" s="209" t="e" vm="1">
        <v>#VALUE!</v>
      </c>
      <c r="E12" s="210" t="s">
        <v>54</v>
      </c>
      <c r="F12" s="211"/>
      <c r="G12" s="20"/>
    </row>
    <row r="13" spans="1:14" ht="15" customHeight="1" thickTop="1" thickBot="1" x14ac:dyDescent="0.65">
      <c r="A13" s="14"/>
      <c r="B13" s="119" t="s">
        <v>55</v>
      </c>
      <c r="C13" s="110" t="s">
        <v>285</v>
      </c>
      <c r="D13" s="209"/>
      <c r="E13" s="111" t="s">
        <v>56</v>
      </c>
      <c r="F13" s="115"/>
      <c r="G13" s="20"/>
    </row>
    <row r="14" spans="1:14" ht="15" customHeight="1" thickTop="1" thickBot="1" x14ac:dyDescent="0.65">
      <c r="A14" s="14"/>
      <c r="B14" s="119" t="s">
        <v>57</v>
      </c>
      <c r="C14" s="110"/>
      <c r="D14" s="209"/>
      <c r="E14" s="111" t="s">
        <v>58</v>
      </c>
      <c r="F14" s="116"/>
      <c r="G14" s="14"/>
    </row>
    <row r="15" spans="1:14" ht="15" customHeight="1" thickTop="1" thickBot="1" x14ac:dyDescent="0.65">
      <c r="A15" s="14"/>
      <c r="B15" s="119" t="s">
        <v>59</v>
      </c>
      <c r="C15" s="110">
        <v>64000</v>
      </c>
      <c r="D15" s="209"/>
      <c r="E15" s="112"/>
      <c r="F15" s="112"/>
      <c r="G15" s="14"/>
    </row>
    <row r="16" spans="1:14" ht="15" customHeight="1" thickTop="1" thickBot="1" x14ac:dyDescent="0.65">
      <c r="A16" s="14"/>
      <c r="B16" s="119" t="s">
        <v>60</v>
      </c>
      <c r="C16" s="110">
        <v>120020</v>
      </c>
      <c r="D16" s="209"/>
      <c r="E16" s="111" t="s">
        <v>61</v>
      </c>
      <c r="F16" s="117">
        <v>46140</v>
      </c>
      <c r="G16" s="21"/>
      <c r="H16" s="3"/>
    </row>
    <row r="17" spans="1:13" ht="15" customHeight="1" thickTop="1" thickBot="1" x14ac:dyDescent="0.65">
      <c r="A17" s="14"/>
      <c r="B17" s="119" t="s">
        <v>62</v>
      </c>
      <c r="C17" s="110"/>
      <c r="D17" s="209"/>
      <c r="E17" s="111" t="s">
        <v>63</v>
      </c>
      <c r="F17" s="117" t="s">
        <v>291</v>
      </c>
      <c r="G17" s="14"/>
    </row>
    <row r="18" spans="1:13" ht="15" customHeight="1" thickTop="1" thickBot="1" x14ac:dyDescent="0.65">
      <c r="A18" s="14"/>
      <c r="B18" s="119" t="s">
        <v>64</v>
      </c>
      <c r="C18" s="110" t="s">
        <v>286</v>
      </c>
      <c r="D18" s="209"/>
      <c r="E18" s="114"/>
      <c r="F18" s="113"/>
      <c r="G18" s="14"/>
    </row>
    <row r="19" spans="1:13" ht="15.9" thickTop="1" thickBot="1" x14ac:dyDescent="0.75">
      <c r="A19" s="14"/>
      <c r="B19" s="119" t="s">
        <v>65</v>
      </c>
      <c r="C19" s="193">
        <v>641883184</v>
      </c>
      <c r="D19" s="19"/>
      <c r="E19" s="111" t="s">
        <v>66</v>
      </c>
      <c r="F19" s="116" t="s">
        <v>67</v>
      </c>
      <c r="G19" s="14"/>
    </row>
    <row r="20" spans="1:13" ht="15.9" thickTop="1" thickBot="1" x14ac:dyDescent="0.75">
      <c r="A20" s="14"/>
      <c r="B20" s="119" t="s">
        <v>68</v>
      </c>
      <c r="C20" s="110" t="s">
        <v>181</v>
      </c>
      <c r="D20" s="19"/>
      <c r="E20" s="22"/>
      <c r="F20" s="22"/>
      <c r="G20" s="14"/>
    </row>
    <row r="21" spans="1:13" ht="15.3" thickTop="1" thickBot="1" x14ac:dyDescent="0.65">
      <c r="A21" s="14"/>
      <c r="B21" s="119" t="s">
        <v>69</v>
      </c>
      <c r="C21" s="110" t="s">
        <v>287</v>
      </c>
      <c r="D21" s="22"/>
      <c r="E21" s="111" t="s">
        <v>70</v>
      </c>
      <c r="F21" s="116" t="s">
        <v>290</v>
      </c>
      <c r="G21" s="14"/>
    </row>
    <row r="22" spans="1:13" ht="15.3" thickTop="1" thickBot="1" x14ac:dyDescent="0.65">
      <c r="A22" s="14"/>
      <c r="B22" s="119" t="s">
        <v>71</v>
      </c>
      <c r="C22" s="110" t="s">
        <v>288</v>
      </c>
      <c r="D22" s="22"/>
      <c r="E22" s="114"/>
      <c r="F22" s="22"/>
      <c r="G22" s="14"/>
    </row>
    <row r="23" spans="1:13" ht="15.3" thickTop="1" thickBot="1" x14ac:dyDescent="0.65">
      <c r="A23" s="14"/>
      <c r="B23" s="119" t="s">
        <v>69</v>
      </c>
      <c r="C23" s="110" t="s">
        <v>289</v>
      </c>
      <c r="D23" s="22"/>
      <c r="E23" s="111" t="s">
        <v>275</v>
      </c>
      <c r="F23" s="116" t="s">
        <v>72</v>
      </c>
      <c r="G23" s="14"/>
    </row>
    <row r="24" spans="1:13" ht="15.6" thickTop="1" x14ac:dyDescent="0.7">
      <c r="A24" s="14"/>
      <c r="B24" s="108" t="s">
        <v>73</v>
      </c>
      <c r="C24" s="18"/>
      <c r="D24" s="22"/>
      <c r="E24" s="22"/>
      <c r="F24" s="18"/>
      <c r="G24" s="14"/>
    </row>
    <row r="25" spans="1:13" ht="15.6" thickBot="1" x14ac:dyDescent="0.75">
      <c r="A25" s="14"/>
      <c r="B25" s="30" t="s">
        <v>74</v>
      </c>
      <c r="C25" s="23"/>
      <c r="D25" s="22"/>
      <c r="E25" s="108" t="s">
        <v>75</v>
      </c>
      <c r="F25" s="109"/>
      <c r="G25" s="14"/>
    </row>
    <row r="26" spans="1:13" ht="15.9" thickTop="1" thickBot="1" x14ac:dyDescent="0.75">
      <c r="A26" s="14"/>
      <c r="B26" s="120" t="s">
        <v>76</v>
      </c>
      <c r="C26" s="121" t="s">
        <v>282</v>
      </c>
      <c r="D26" s="22"/>
      <c r="E26" s="108"/>
      <c r="F26" s="109"/>
      <c r="G26" s="14"/>
    </row>
    <row r="27" spans="1:13" ht="15.9" thickTop="1" thickBot="1" x14ac:dyDescent="0.75">
      <c r="A27" s="14"/>
      <c r="B27" s="120" t="s">
        <v>77</v>
      </c>
      <c r="C27" s="122">
        <v>46133</v>
      </c>
      <c r="D27" s="209"/>
      <c r="E27" s="109"/>
      <c r="F27" s="109"/>
      <c r="G27" s="14"/>
    </row>
    <row r="28" spans="1:13" ht="15.9" thickTop="1" thickBot="1" x14ac:dyDescent="0.75">
      <c r="A28" s="14"/>
      <c r="B28" s="120" t="s">
        <v>78</v>
      </c>
      <c r="C28" s="121" t="s">
        <v>79</v>
      </c>
      <c r="D28" s="209"/>
      <c r="E28" s="109"/>
      <c r="F28" s="109"/>
      <c r="G28" s="14"/>
    </row>
    <row r="29" spans="1:13" ht="15.6" thickTop="1" x14ac:dyDescent="0.7">
      <c r="A29" s="14"/>
      <c r="B29" s="24"/>
      <c r="C29" s="24"/>
      <c r="D29" s="209"/>
      <c r="E29" s="22"/>
      <c r="F29" s="18"/>
      <c r="G29" s="14"/>
      <c r="L29"/>
    </row>
    <row r="30" spans="1:13" x14ac:dyDescent="0.55000000000000004">
      <c r="A30" s="14"/>
      <c r="B30" s="14"/>
      <c r="C30" s="14"/>
      <c r="D30" s="209"/>
      <c r="E30" s="25"/>
      <c r="F30" s="25"/>
      <c r="G30" s="14"/>
    </row>
    <row r="31" spans="1:13" x14ac:dyDescent="0.55000000000000004">
      <c r="A31" s="14"/>
      <c r="B31" s="14"/>
      <c r="C31" s="14"/>
      <c r="D31" s="209"/>
      <c r="E31" s="25"/>
      <c r="F31" s="14"/>
      <c r="G31" s="14"/>
      <c r="M31" s="3"/>
    </row>
    <row r="32" spans="1:13" x14ac:dyDescent="0.55000000000000004">
      <c r="A32" s="14"/>
      <c r="B32" s="14"/>
      <c r="C32" s="14"/>
      <c r="D32" s="209"/>
      <c r="E32" s="25"/>
      <c r="F32" s="14"/>
      <c r="G32" s="14"/>
    </row>
    <row r="33" spans="1:15" x14ac:dyDescent="0.55000000000000004">
      <c r="A33" s="14"/>
      <c r="B33" s="14"/>
      <c r="C33" s="14"/>
      <c r="D33" s="24"/>
      <c r="E33" s="25"/>
      <c r="F33" s="14"/>
      <c r="G33" s="26"/>
      <c r="M33" s="3"/>
      <c r="N33" s="3"/>
      <c r="O33" s="3"/>
    </row>
    <row r="34" spans="1:15" x14ac:dyDescent="0.55000000000000004">
      <c r="A34" s="14"/>
      <c r="B34" s="14"/>
      <c r="C34" s="14"/>
      <c r="D34" s="25"/>
      <c r="E34" s="25"/>
      <c r="F34" s="14"/>
      <c r="G34" s="14"/>
    </row>
    <row r="35" spans="1:15" x14ac:dyDescent="0.55000000000000004">
      <c r="A35" s="14"/>
      <c r="B35" s="14"/>
      <c r="C35" s="14"/>
      <c r="D35" s="25"/>
      <c r="E35" s="25"/>
      <c r="F35" s="14"/>
      <c r="G35" s="14"/>
    </row>
    <row r="36" spans="1:15" x14ac:dyDescent="0.55000000000000004">
      <c r="A36" s="14"/>
      <c r="B36" s="14"/>
      <c r="C36" s="14"/>
      <c r="D36" s="27"/>
      <c r="E36" s="14"/>
      <c r="F36" s="14"/>
      <c r="G36" s="14"/>
    </row>
    <row r="37" spans="1:15" hidden="1" x14ac:dyDescent="0.55000000000000004">
      <c r="A37" s="14"/>
      <c r="B37" s="14"/>
      <c r="C37" s="14"/>
      <c r="D37" s="27"/>
      <c r="E37" s="14"/>
      <c r="F37" s="14"/>
      <c r="G37" s="14"/>
    </row>
    <row r="38" spans="1:15" hidden="1" x14ac:dyDescent="0.55000000000000004">
      <c r="A38" s="14"/>
      <c r="B38" s="14"/>
      <c r="C38" s="14"/>
      <c r="D38" s="27"/>
      <c r="E38" s="14"/>
      <c r="F38" s="14"/>
      <c r="G38" s="14"/>
    </row>
    <row r="39" spans="1:15" hidden="1" x14ac:dyDescent="0.55000000000000004">
      <c r="A39" s="14"/>
      <c r="B39" s="14"/>
      <c r="C39" s="14"/>
      <c r="D39" s="28"/>
      <c r="E39" s="14"/>
      <c r="F39" s="14"/>
      <c r="G39" s="14"/>
    </row>
    <row r="40" spans="1:15" hidden="1" x14ac:dyDescent="0.55000000000000004">
      <c r="A40" s="14"/>
      <c r="B40" s="14"/>
      <c r="C40" s="14"/>
      <c r="D40" s="28"/>
      <c r="E40" s="14"/>
      <c r="F40" s="14"/>
      <c r="G40" s="14"/>
    </row>
    <row r="41" spans="1:15" hidden="1" x14ac:dyDescent="0.55000000000000004">
      <c r="A41" s="14"/>
      <c r="B41" s="14"/>
      <c r="C41" s="14"/>
      <c r="D41" s="28"/>
      <c r="E41" s="14"/>
      <c r="F41" s="14"/>
      <c r="G41" s="14"/>
    </row>
    <row r="42" spans="1:15" hidden="1" x14ac:dyDescent="0.55000000000000004">
      <c r="A42" s="14"/>
      <c r="B42" s="14"/>
      <c r="C42" s="14"/>
      <c r="D42" s="14"/>
      <c r="E42" s="14"/>
      <c r="F42" s="14"/>
      <c r="G42" s="14"/>
    </row>
    <row r="43" spans="1:15" hidden="1" x14ac:dyDescent="0.55000000000000004">
      <c r="A43" s="14"/>
      <c r="B43" s="14"/>
      <c r="C43" s="14"/>
      <c r="D43" s="14"/>
      <c r="E43" s="14"/>
      <c r="F43" s="14"/>
      <c r="G43" s="14"/>
    </row>
    <row r="44" spans="1:15" hidden="1" x14ac:dyDescent="0.55000000000000004">
      <c r="A44" s="14"/>
      <c r="B44" s="14"/>
      <c r="C44" s="14"/>
      <c r="D44" s="14"/>
      <c r="E44" s="14"/>
      <c r="F44" s="14"/>
      <c r="G44" s="14"/>
    </row>
    <row r="45" spans="1:15" hidden="1" x14ac:dyDescent="0.55000000000000004">
      <c r="A45" s="14"/>
      <c r="B45" s="14"/>
      <c r="C45" s="14"/>
      <c r="D45" s="14"/>
      <c r="E45" s="14"/>
      <c r="F45" s="14"/>
      <c r="G45" s="14"/>
    </row>
    <row r="46" spans="1:15" hidden="1" x14ac:dyDescent="0.55000000000000004">
      <c r="A46" s="14"/>
      <c r="B46" s="14"/>
      <c r="C46" s="14"/>
      <c r="D46" s="14"/>
      <c r="E46" s="14"/>
      <c r="F46" s="14"/>
      <c r="G46" s="14"/>
    </row>
    <row r="47" spans="1:15" hidden="1" x14ac:dyDescent="0.55000000000000004">
      <c r="A47" s="14"/>
      <c r="B47" s="14"/>
      <c r="C47" s="14"/>
      <c r="D47" s="14"/>
      <c r="E47" s="14"/>
      <c r="F47" s="14"/>
      <c r="G47" s="14"/>
    </row>
    <row r="48" spans="1:15" hidden="1" x14ac:dyDescent="0.55000000000000004">
      <c r="A48" s="14"/>
      <c r="B48" s="14"/>
      <c r="C48" s="14"/>
      <c r="D48" s="14"/>
      <c r="E48" s="14"/>
      <c r="F48" s="14"/>
      <c r="G48" s="14"/>
    </row>
    <row r="49" spans="1:7" hidden="1" x14ac:dyDescent="0.55000000000000004">
      <c r="A49" s="14"/>
      <c r="B49" s="14"/>
      <c r="C49" s="14"/>
      <c r="D49" s="14"/>
      <c r="E49" s="14"/>
      <c r="F49" s="14"/>
      <c r="G49" s="14"/>
    </row>
    <row r="50" spans="1:7" hidden="1" x14ac:dyDescent="0.55000000000000004">
      <c r="A50" s="14"/>
      <c r="B50" s="14"/>
      <c r="C50" s="14"/>
      <c r="D50" s="14"/>
      <c r="E50" s="14"/>
      <c r="F50" s="14"/>
      <c r="G50" s="14"/>
    </row>
    <row r="51" spans="1:7" hidden="1" x14ac:dyDescent="0.55000000000000004">
      <c r="A51" s="14"/>
      <c r="B51" s="14"/>
      <c r="C51" s="14"/>
      <c r="D51" s="14"/>
      <c r="E51" s="14"/>
      <c r="F51" s="14"/>
      <c r="G51" s="14"/>
    </row>
    <row r="52" spans="1:7" hidden="1" x14ac:dyDescent="0.55000000000000004">
      <c r="A52" s="14"/>
      <c r="B52" s="14"/>
      <c r="C52" s="14"/>
      <c r="D52" s="14"/>
      <c r="E52" s="14"/>
      <c r="F52" s="14"/>
      <c r="G52" s="14"/>
    </row>
    <row r="53" spans="1:7" hidden="1" x14ac:dyDescent="0.55000000000000004">
      <c r="A53" s="14"/>
      <c r="B53" s="14"/>
      <c r="C53" s="14"/>
      <c r="D53" s="14"/>
      <c r="E53" s="14"/>
      <c r="F53" s="14"/>
      <c r="G53" s="14"/>
    </row>
    <row r="54" spans="1:7" hidden="1" x14ac:dyDescent="0.55000000000000004">
      <c r="A54" s="14"/>
      <c r="B54" s="14"/>
      <c r="C54" s="14"/>
      <c r="D54" s="14"/>
      <c r="E54" s="14"/>
      <c r="F54" s="14"/>
      <c r="G54" s="14"/>
    </row>
    <row r="55" spans="1:7" hidden="1" x14ac:dyDescent="0.55000000000000004">
      <c r="A55" s="14"/>
      <c r="B55" s="14"/>
      <c r="C55" s="14"/>
      <c r="D55" s="14"/>
      <c r="E55" s="14"/>
      <c r="F55" s="14"/>
      <c r="G55" s="14"/>
    </row>
    <row r="56" spans="1:7" hidden="1" x14ac:dyDescent="0.55000000000000004">
      <c r="A56" s="14"/>
      <c r="B56" s="14"/>
      <c r="C56" s="14"/>
      <c r="D56" s="14"/>
      <c r="E56" s="14"/>
      <c r="F56" s="14"/>
      <c r="G56" s="14"/>
    </row>
    <row r="57" spans="1:7" hidden="1" x14ac:dyDescent="0.55000000000000004">
      <c r="A57" s="14"/>
      <c r="B57" s="29"/>
      <c r="C57" s="14"/>
      <c r="D57" s="14"/>
      <c r="E57" s="14"/>
      <c r="F57" s="14"/>
      <c r="G57" s="14"/>
    </row>
    <row r="58" spans="1:7" hidden="1" x14ac:dyDescent="0.55000000000000004">
      <c r="A58" s="14"/>
      <c r="B58" s="29"/>
      <c r="C58" s="14"/>
      <c r="D58" s="14"/>
      <c r="E58" s="14"/>
      <c r="F58" s="14"/>
      <c r="G58" s="14"/>
    </row>
    <row r="59" spans="1:7" hidden="1" x14ac:dyDescent="0.55000000000000004">
      <c r="A59" s="14"/>
      <c r="B59" s="14"/>
      <c r="C59" s="14"/>
      <c r="D59" s="14"/>
      <c r="E59" s="14"/>
      <c r="F59" s="14"/>
      <c r="G59" s="14"/>
    </row>
    <row r="60" spans="1:7" hidden="1" x14ac:dyDescent="0.55000000000000004">
      <c r="A60" s="14"/>
      <c r="B60" s="14"/>
      <c r="C60" s="14"/>
      <c r="D60" s="14"/>
      <c r="E60" s="14"/>
      <c r="F60" s="14"/>
      <c r="G60" s="14"/>
    </row>
    <row r="61" spans="1:7" hidden="1" x14ac:dyDescent="0.55000000000000004">
      <c r="A61" s="14"/>
      <c r="B61" s="14"/>
      <c r="C61" s="14"/>
      <c r="D61" s="14"/>
      <c r="E61" s="14"/>
      <c r="F61" s="14"/>
      <c r="G61" s="14"/>
    </row>
    <row r="62" spans="1:7" hidden="1" x14ac:dyDescent="0.55000000000000004">
      <c r="A62" s="14"/>
      <c r="B62" s="14"/>
      <c r="C62" s="14"/>
      <c r="D62" s="14"/>
      <c r="E62" s="14"/>
      <c r="F62" s="14"/>
      <c r="G62" s="14"/>
    </row>
    <row r="63" spans="1:7" hidden="1" x14ac:dyDescent="0.55000000000000004">
      <c r="A63" s="14"/>
      <c r="B63" s="14"/>
      <c r="C63" s="14"/>
      <c r="D63" s="14"/>
      <c r="E63" s="14"/>
      <c r="F63" s="14"/>
      <c r="G63" s="14"/>
    </row>
    <row r="64" spans="1:7" hidden="1" x14ac:dyDescent="0.55000000000000004">
      <c r="A64" s="14"/>
      <c r="B64" s="14"/>
      <c r="C64" s="14"/>
      <c r="D64" s="14"/>
      <c r="E64" s="14"/>
      <c r="F64" s="14"/>
      <c r="G64" s="14"/>
    </row>
    <row r="65" spans="1:7" hidden="1" x14ac:dyDescent="0.55000000000000004">
      <c r="A65" s="14"/>
      <c r="D65" s="14"/>
      <c r="E65" s="14"/>
      <c r="F65" s="14"/>
      <c r="G65" s="14"/>
    </row>
    <row r="66" spans="1:7" hidden="1" x14ac:dyDescent="0.55000000000000004">
      <c r="A66" s="14"/>
      <c r="D66" s="14"/>
      <c r="E66" s="25"/>
      <c r="F66" s="14"/>
      <c r="G66" s="14"/>
    </row>
    <row r="67" spans="1:7" hidden="1" x14ac:dyDescent="0.55000000000000004">
      <c r="A67" s="14"/>
      <c r="B67" s="14"/>
      <c r="C67" s="14"/>
      <c r="D67" s="14"/>
      <c r="G67" s="14"/>
    </row>
    <row r="68" spans="1:7" x14ac:dyDescent="0.55000000000000004">
      <c r="A68" s="14"/>
      <c r="D68" s="14"/>
      <c r="G68" s="14"/>
    </row>
  </sheetData>
  <sheetProtection algorithmName="SHA-512" hashValue="jn9/Q317Bkj9wHHd/SxZ7iochefGcHt1iOm+8Z74bkSI1RoQSnjHueZ+0Kz945WoiX3OmoidknrNCx3x/cH4Ng==" saltValue="EKADSbiWcYL6ZtJ4edPJuA==" spinCount="100000" sheet="1" objects="1" scenarios="1"/>
  <mergeCells count="5">
    <mergeCell ref="E12:F12"/>
    <mergeCell ref="D27:D32"/>
    <mergeCell ref="D12:D18"/>
    <mergeCell ref="E4:E9"/>
    <mergeCell ref="D6:D11"/>
  </mergeCells>
  <conditionalFormatting sqref="F19">
    <cfRule type="cellIs" dxfId="52" priority="1" operator="equal">
      <formula>"Add rule(s)"</formula>
    </cfRule>
    <cfRule type="containsText" dxfId="51" priority="2" operator="containsText" text="Remove rule(s)">
      <formula>NOT(ISERROR(SEARCH("Remove rule(s)",F19)))</formula>
    </cfRule>
    <cfRule type="containsText" dxfId="50" priority="3" operator="containsText" text="Modify rule(s)">
      <formula>NOT(ISERROR(SEARCH("Modify rule(s)",F19)))</formula>
    </cfRule>
  </conditionalFormatting>
  <conditionalFormatting sqref="F23">
    <cfRule type="containsText" dxfId="49" priority="5" operator="containsText" text="Yes">
      <formula>NOT(ISERROR(SEARCH("Yes",F23)))</formula>
    </cfRule>
  </conditionalFormatting>
  <dataValidations xWindow="867" yWindow="862" count="2">
    <dataValidation allowBlank="1" showInputMessage="1" showErrorMessage="1" prompt="Insert link to design document for more context on this change request." sqref="E21" xr:uid="{217E2052-B4EC-4EB5-9280-55B484AB37CF}"/>
    <dataValidation allowBlank="1" showInputMessage="1" showErrorMessage="1" prompt="IF YES, place change form in folder ICE - Firewall on the ABDO ICE server by using the PAM jumps." sqref="E23" xr:uid="{96817F2C-A140-4586-9B41-252FE1B9ACF1}"/>
  </dataValidations>
  <hyperlinks>
    <hyperlink ref="D12" location="Explanation!A1" display="Explanation!A1" xr:uid="{99A965BC-F26D-4823-B2CD-69C86C87BA4D}"/>
    <hyperlink ref="D12:D18" location="'2. Explanation'!A1" display="'2. Explanation'!A1" xr:uid="{22FB6C32-81CD-449C-A0D1-9DC3E632D841}"/>
  </hyperlinks>
  <pageMargins left="0.7" right="0.7" top="0.75" bottom="0.75" header="0.3" footer="0.3"/>
  <pageSetup paperSize="9" orientation="landscape" r:id="rId1"/>
  <headerFooter>
    <oddFooter>&amp;C_x000D_&amp;1#&amp;"Calibri"&amp;10&amp;KFF7900 Orange Restricted</oddFooter>
  </headerFooter>
  <drawing r:id="rId2"/>
  <legacyDrawing r:id="rId3"/>
  <extLst>
    <ext xmlns:x14="http://schemas.microsoft.com/office/spreadsheetml/2009/9/main" uri="{CCE6A557-97BC-4b89-ADB6-D9C93CAAB3DF}">
      <x14:dataValidations xmlns:xm="http://schemas.microsoft.com/office/excel/2006/main" xWindow="867" yWindow="862" count="4">
        <x14:dataValidation type="list" allowBlank="1" showInputMessage="1" showErrorMessage="1" xr:uid="{2CDA5684-32B8-4D15-87E0-758717AC1801}">
          <x14:formula1>
            <xm:f>Content!$B$3:$B$5</xm:f>
          </x14:formula1>
          <xm:sqref>F19</xm:sqref>
        </x14:dataValidation>
        <x14:dataValidation type="list" allowBlank="1" showInputMessage="1" showErrorMessage="1" xr:uid="{A5CDDFA4-2987-4326-9FBF-79E1E986E9C7}">
          <x14:formula1>
            <xm:f>Content!$D$12:$D$13</xm:f>
          </x14:formula1>
          <xm:sqref>F23</xm:sqref>
        </x14:dataValidation>
        <x14:dataValidation type="list" allowBlank="1" showInputMessage="1" showErrorMessage="1" prompt="for future use now." xr:uid="{9EE1CE3B-3797-4094-9A49-E607717D92CA}">
          <x14:formula1>
            <xm:f>Content!$R$3:$R$8</xm:f>
          </x14:formula1>
          <xm:sqref>C20</xm:sqref>
        </x14:dataValidation>
        <x14:dataValidation type="list" allowBlank="1" showInputMessage="1" showErrorMessage="1" xr:uid="{51C6181A-B003-4AEA-9ADD-9FFD7A355639}">
          <x14:formula1>
            <xm:f>Content!$V$3:$V$6</xm:f>
          </x14:formula1>
          <xm:sqref>C12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42E9B-45EC-4C67-A060-5DAF7DD76EF6}">
  <dimension ref="A1:BI110"/>
  <sheetViews>
    <sheetView tabSelected="1" topLeftCell="A7" zoomScaleNormal="100" workbookViewId="0">
      <selection activeCell="C19" sqref="C19"/>
    </sheetView>
  </sheetViews>
  <sheetFormatPr defaultColWidth="0" defaultRowHeight="15.3" zeroHeight="1" x14ac:dyDescent="0.7"/>
  <cols>
    <col min="1" max="1" width="8.5234375" style="11" customWidth="1"/>
    <col min="2" max="2" width="6.3125" style="11" customWidth="1"/>
    <col min="3" max="3" width="43.3125" style="11" customWidth="1"/>
    <col min="4" max="4" width="16.1015625" style="11" customWidth="1"/>
    <col min="5" max="5" width="30.89453125" style="11" customWidth="1"/>
    <col min="6" max="6" width="29" style="11" customWidth="1"/>
    <col min="7" max="7" width="31.3125" style="11" customWidth="1"/>
    <col min="8" max="8" width="6.89453125" style="11" hidden="1" customWidth="1"/>
    <col min="9" max="9" width="33" style="11" bestFit="1" customWidth="1"/>
    <col min="10" max="10" width="17.41796875" style="11" customWidth="1"/>
    <col min="11" max="11" width="29.3125" style="11" customWidth="1"/>
    <col min="12" max="12" width="30.5234375" style="11" customWidth="1"/>
    <col min="13" max="13" width="32.5234375" style="11" customWidth="1"/>
    <col min="14" max="14" width="29.41796875" style="12" bestFit="1" customWidth="1"/>
    <col min="15" max="15" width="10.68359375" style="12" customWidth="1"/>
    <col min="16" max="16" width="16.68359375" style="12" customWidth="1"/>
    <col min="17" max="17" width="10.68359375" style="12" customWidth="1"/>
    <col min="18" max="18" width="15.89453125" style="12" bestFit="1" customWidth="1"/>
    <col min="19" max="19" width="21.3125" style="12" hidden="1" customWidth="1"/>
    <col min="20" max="20" width="56.5234375" style="12" hidden="1" customWidth="1"/>
    <col min="21" max="21" width="26" style="12" customWidth="1"/>
    <col min="22" max="22" width="27.3125" style="12" customWidth="1"/>
    <col min="23" max="23" width="8.5234375" style="11" customWidth="1"/>
    <col min="24" max="61" width="0" style="11" hidden="1" customWidth="1"/>
    <col min="62" max="16384" width="9.1015625" style="11" hidden="1"/>
  </cols>
  <sheetData>
    <row r="1" spans="1:23" s="12" customFormat="1" ht="15" customHeight="1" x14ac:dyDescent="1.3">
      <c r="A1" s="18"/>
      <c r="B1" s="31"/>
      <c r="C1" s="32"/>
      <c r="D1" s="32"/>
      <c r="E1" s="18"/>
      <c r="F1" s="18"/>
      <c r="G1" s="18"/>
      <c r="H1" s="18"/>
      <c r="I1" s="18"/>
      <c r="J1" s="18"/>
      <c r="K1" s="18"/>
      <c r="L1" s="18"/>
      <c r="M1" s="18"/>
      <c r="N1" s="18"/>
      <c r="O1" s="18"/>
      <c r="P1" s="18"/>
      <c r="Q1" s="18"/>
      <c r="R1" s="18"/>
      <c r="S1" s="18"/>
      <c r="T1" s="18"/>
      <c r="U1" s="18"/>
      <c r="V1" s="18"/>
      <c r="W1" s="18"/>
    </row>
    <row r="2" spans="1:23" s="12" customFormat="1" x14ac:dyDescent="0.7">
      <c r="A2" s="18"/>
      <c r="B2" s="33"/>
      <c r="C2" s="18"/>
      <c r="D2" s="18"/>
      <c r="E2" s="18"/>
      <c r="F2" s="18"/>
      <c r="G2" s="18"/>
      <c r="H2" s="18"/>
      <c r="I2" s="208"/>
      <c r="J2" s="19"/>
      <c r="K2" s="18"/>
      <c r="L2" s="18"/>
      <c r="M2" s="18"/>
      <c r="N2" s="18"/>
      <c r="O2" s="18"/>
      <c r="P2" s="18"/>
      <c r="Q2" s="18"/>
      <c r="R2" s="18"/>
      <c r="S2" s="18"/>
      <c r="T2" s="18"/>
      <c r="U2" s="18"/>
      <c r="V2" s="18"/>
      <c r="W2" s="18"/>
    </row>
    <row r="3" spans="1:23" s="12" customFormat="1" x14ac:dyDescent="0.7">
      <c r="A3" s="18"/>
      <c r="B3" s="33"/>
      <c r="C3" s="18"/>
      <c r="D3" s="18"/>
      <c r="E3" s="18"/>
      <c r="F3" s="18"/>
      <c r="G3" s="18"/>
      <c r="H3" s="18"/>
      <c r="I3" s="208"/>
      <c r="J3" s="19"/>
      <c r="K3" s="18"/>
      <c r="L3" s="18"/>
      <c r="M3" s="18"/>
      <c r="N3" s="18"/>
      <c r="O3" s="18"/>
      <c r="P3" s="18"/>
      <c r="Q3" s="18"/>
      <c r="R3" s="18"/>
      <c r="S3" s="18"/>
      <c r="T3" s="18"/>
      <c r="U3" s="18"/>
      <c r="V3" s="18"/>
      <c r="W3" s="18"/>
    </row>
    <row r="4" spans="1:23" s="12" customFormat="1" x14ac:dyDescent="0.7">
      <c r="A4" s="18"/>
      <c r="B4" s="33"/>
      <c r="C4" s="18"/>
      <c r="D4" s="18"/>
      <c r="E4" s="18"/>
      <c r="F4" s="18"/>
      <c r="G4" s="18"/>
      <c r="H4" s="18"/>
      <c r="I4" s="208"/>
      <c r="J4" s="19"/>
      <c r="K4" s="18"/>
      <c r="L4" s="18"/>
      <c r="M4" s="18"/>
      <c r="N4" s="18"/>
      <c r="O4" s="18"/>
      <c r="P4" s="18"/>
      <c r="Q4" s="18"/>
      <c r="R4" s="18"/>
      <c r="S4" s="18"/>
      <c r="T4" s="18"/>
      <c r="U4" s="18"/>
      <c r="V4" s="18"/>
      <c r="W4" s="18"/>
    </row>
    <row r="5" spans="1:23" s="12" customFormat="1" x14ac:dyDescent="0.7">
      <c r="A5" s="18"/>
      <c r="B5" s="33"/>
      <c r="C5" s="18"/>
      <c r="D5" s="18"/>
      <c r="E5" s="18"/>
      <c r="F5" s="18"/>
      <c r="G5" s="18"/>
      <c r="H5" s="18"/>
      <c r="I5" s="208"/>
      <c r="J5" s="19"/>
      <c r="K5" s="18"/>
      <c r="L5" s="18"/>
      <c r="M5" s="18"/>
      <c r="N5" s="18"/>
      <c r="O5" s="18"/>
      <c r="P5" s="18"/>
      <c r="Q5" s="18"/>
      <c r="R5" s="18"/>
      <c r="S5" s="18"/>
      <c r="T5" s="18"/>
      <c r="U5" s="18"/>
      <c r="V5" s="18"/>
      <c r="W5" s="18"/>
    </row>
    <row r="6" spans="1:23" s="12" customFormat="1" x14ac:dyDescent="0.7">
      <c r="A6" s="18"/>
      <c r="B6" s="33"/>
      <c r="C6" s="18"/>
      <c r="D6" s="18"/>
      <c r="E6" s="18"/>
      <c r="F6" s="18"/>
      <c r="G6" s="18"/>
      <c r="H6" s="18"/>
      <c r="I6" s="208"/>
      <c r="J6" s="19"/>
      <c r="K6" s="18"/>
      <c r="L6" s="18"/>
      <c r="M6" s="18"/>
      <c r="N6" s="18"/>
      <c r="O6" s="18"/>
      <c r="P6" s="18"/>
      <c r="Q6" s="18"/>
      <c r="R6" s="18"/>
      <c r="S6" s="18"/>
      <c r="T6" s="18"/>
      <c r="U6" s="18"/>
      <c r="V6" s="18"/>
      <c r="W6" s="18"/>
    </row>
    <row r="7" spans="1:23" s="12" customFormat="1" ht="15.6" thickBot="1" x14ac:dyDescent="0.75">
      <c r="A7" s="18"/>
      <c r="B7" s="33"/>
      <c r="C7" s="18"/>
      <c r="D7" s="18"/>
      <c r="E7" s="18"/>
      <c r="F7" s="18"/>
      <c r="G7" s="18"/>
      <c r="H7" s="18"/>
      <c r="I7" s="208"/>
      <c r="J7" s="19"/>
      <c r="K7" s="18"/>
      <c r="L7" s="18"/>
      <c r="M7" s="18"/>
      <c r="N7" s="18"/>
      <c r="O7" s="18"/>
      <c r="P7" s="18"/>
      <c r="Q7" s="18"/>
      <c r="R7" s="18"/>
      <c r="S7" s="18"/>
      <c r="T7" s="18"/>
      <c r="U7" s="18"/>
      <c r="V7" s="18"/>
      <c r="W7" s="18"/>
    </row>
    <row r="8" spans="1:23" s="12" customFormat="1" ht="15.9" thickTop="1" thickBot="1" x14ac:dyDescent="0.75">
      <c r="A8" s="18"/>
      <c r="B8" s="33"/>
      <c r="C8" s="18"/>
      <c r="D8" s="18"/>
      <c r="E8" s="123" t="s">
        <v>80</v>
      </c>
      <c r="F8" s="18"/>
      <c r="G8" s="18"/>
      <c r="H8" s="18"/>
      <c r="I8" s="18"/>
      <c r="J8" s="18"/>
      <c r="K8" s="18"/>
      <c r="L8" s="18"/>
      <c r="M8" s="18"/>
      <c r="N8" s="18"/>
      <c r="O8" s="18"/>
      <c r="P8" s="18"/>
      <c r="Q8" s="18"/>
      <c r="R8" s="18"/>
      <c r="S8" s="18"/>
      <c r="T8" s="18"/>
      <c r="U8" s="18"/>
      <c r="V8" s="18"/>
      <c r="W8" s="18"/>
    </row>
    <row r="9" spans="1:23" s="12" customFormat="1" ht="15.6" thickTop="1" x14ac:dyDescent="0.7">
      <c r="A9" s="18"/>
      <c r="B9" s="33"/>
      <c r="C9" s="18"/>
      <c r="D9" s="18"/>
      <c r="E9" s="18"/>
      <c r="F9" s="18"/>
      <c r="G9" s="18"/>
      <c r="H9" s="18"/>
      <c r="I9" s="18"/>
      <c r="J9" s="18"/>
      <c r="K9" s="18"/>
      <c r="L9" s="18"/>
      <c r="M9" s="18"/>
      <c r="N9" s="18"/>
      <c r="O9" s="18"/>
      <c r="P9" s="18"/>
      <c r="Q9" s="18"/>
      <c r="R9" s="18"/>
      <c r="S9" s="18"/>
      <c r="T9" s="18"/>
      <c r="U9" s="18"/>
      <c r="V9" s="18"/>
      <c r="W9" s="18"/>
    </row>
    <row r="10" spans="1:23" s="12" customFormat="1" ht="15.6" thickBot="1" x14ac:dyDescent="0.75">
      <c r="A10" s="18"/>
      <c r="B10" s="33"/>
      <c r="C10" s="18"/>
      <c r="D10" s="18"/>
      <c r="E10" s="18"/>
      <c r="F10" s="18"/>
      <c r="G10" s="18"/>
      <c r="H10" s="18"/>
      <c r="I10" s="18"/>
      <c r="J10" s="18"/>
      <c r="K10" s="18"/>
      <c r="L10" s="18"/>
      <c r="M10" s="18"/>
      <c r="N10" s="18"/>
      <c r="O10" s="18"/>
      <c r="P10" s="18"/>
      <c r="Q10" s="18"/>
      <c r="R10" s="18"/>
      <c r="S10" s="18"/>
      <c r="T10" s="18"/>
      <c r="U10" s="18"/>
      <c r="V10" s="18"/>
      <c r="W10" s="18"/>
    </row>
    <row r="11" spans="1:23" ht="15.6" thickBot="1" x14ac:dyDescent="0.75">
      <c r="A11" s="18"/>
      <c r="B11" s="22"/>
      <c r="C11" s="22"/>
      <c r="D11" s="182"/>
      <c r="E11" s="206" t="s">
        <v>81</v>
      </c>
      <c r="F11" s="206"/>
      <c r="G11" s="206"/>
      <c r="H11" s="206"/>
      <c r="I11" s="206"/>
      <c r="J11" s="176"/>
      <c r="K11" s="206" t="s">
        <v>82</v>
      </c>
      <c r="L11" s="206"/>
      <c r="M11" s="207"/>
      <c r="N11" s="18"/>
      <c r="O11" s="18"/>
      <c r="P11" s="18"/>
      <c r="Q11" s="18"/>
      <c r="R11" s="22"/>
      <c r="S11" s="22"/>
      <c r="T11" s="22"/>
      <c r="U11" s="204" t="s">
        <v>83</v>
      </c>
      <c r="V11" s="205"/>
      <c r="W11" s="18"/>
    </row>
    <row r="12" spans="1:23" ht="15.6" thickBot="1" x14ac:dyDescent="0.75">
      <c r="A12" s="18"/>
      <c r="B12" s="68" t="s">
        <v>84</v>
      </c>
      <c r="C12" s="70" t="s">
        <v>4</v>
      </c>
      <c r="D12" s="181" t="s">
        <v>85</v>
      </c>
      <c r="E12" s="74" t="s">
        <v>86</v>
      </c>
      <c r="F12" s="75" t="s">
        <v>87</v>
      </c>
      <c r="G12" s="179" t="s">
        <v>88</v>
      </c>
      <c r="H12" s="180"/>
      <c r="I12" s="74" t="s">
        <v>89</v>
      </c>
      <c r="J12" s="74" t="s">
        <v>90</v>
      </c>
      <c r="K12" s="74" t="s">
        <v>91</v>
      </c>
      <c r="L12" s="75" t="s">
        <v>87</v>
      </c>
      <c r="M12" s="76" t="s">
        <v>88</v>
      </c>
      <c r="N12" s="74" t="s">
        <v>28</v>
      </c>
      <c r="O12" s="178" t="s">
        <v>92</v>
      </c>
      <c r="P12" s="186" t="s">
        <v>93</v>
      </c>
      <c r="Q12" s="187" t="s">
        <v>94</v>
      </c>
      <c r="R12" s="186" t="s">
        <v>95</v>
      </c>
      <c r="S12" s="35" t="s">
        <v>96</v>
      </c>
      <c r="T12" s="34" t="s">
        <v>97</v>
      </c>
      <c r="U12" s="129" t="s">
        <v>98</v>
      </c>
      <c r="V12" s="130" t="s">
        <v>99</v>
      </c>
      <c r="W12" s="18"/>
    </row>
    <row r="13" spans="1:23" x14ac:dyDescent="0.7">
      <c r="A13" s="18"/>
      <c r="B13" s="165" t="s">
        <v>100</v>
      </c>
      <c r="C13" s="136" t="s">
        <v>101</v>
      </c>
      <c r="D13" s="138">
        <v>123456</v>
      </c>
      <c r="E13" s="137" t="s">
        <v>102</v>
      </c>
      <c r="F13" s="138" t="s">
        <v>103</v>
      </c>
      <c r="G13" s="139" t="s">
        <v>104</v>
      </c>
      <c r="H13" s="140"/>
      <c r="I13" s="141" t="s">
        <v>21</v>
      </c>
      <c r="J13" s="138">
        <v>567890</v>
      </c>
      <c r="K13" s="177" t="s">
        <v>105</v>
      </c>
      <c r="L13" s="138" t="s">
        <v>106</v>
      </c>
      <c r="M13" s="139" t="s">
        <v>107</v>
      </c>
      <c r="N13" s="143" t="s">
        <v>108</v>
      </c>
      <c r="O13" s="183" t="s">
        <v>109</v>
      </c>
      <c r="P13" s="183">
        <v>53</v>
      </c>
      <c r="Q13" s="184" t="s">
        <v>110</v>
      </c>
      <c r="R13" s="185" t="s">
        <v>111</v>
      </c>
      <c r="S13" s="147" t="s">
        <v>112</v>
      </c>
      <c r="T13" s="148" t="s">
        <v>113</v>
      </c>
      <c r="U13" s="149" t="str" cm="1">
        <f t="array" ref="U13">IF(E13="","",IF(OR(ISNUMBER(SEARCH({"10.205.37";"10.205.38";"10.205.69";"10.205.31";"10.205.28";"10.205.27"},E13))),"Platform-Runtime and Azure OPS",
IF(OR(ISNUMBER(SEARCH({"10.229.16";"10.229.17";"10.229.18";"10.229.19";"10.229.20";"10.229.21";"10.229.25";"10.229.26"},E13))),"SDDC",
IF(OR(ISNUMBER(SEARCH({"10.220";"10.221";"10.222";"10.223";"10.224";"10.225";"10.227";"10.229";"185.130.242"},E13))),"SDDC",
IF(OR(ISNUMBER(SEARCH({"10.226";"10.205"},E13))),"Azure OPS and SDDC",
IF(AND(NOT(ISNUMBER(SEARCH({"10.220";"10.221";"10.222";"10.223";"10.224";"10.225";"10.229";"10.226";"10.227";"10.205";"10.205.37";"10.205.38";"10.205.69";"10.205.31";"10.205.28";"10.205.27";"10.229.16";"10.229.17";"10.229.18";"10.229.19";"10.229.20";"10.229.21";"10.229.25";"10.229.26"},E13)))),"SCT SI - OCD",""))))))</f>
        <v>SCT SI - OCD</v>
      </c>
      <c r="V13" s="150" t="str" cm="1">
        <f t="array" ref="V13">IF(K13="","",IF(OR(ISNUMBER(SEARCH({"10.205.37";"10.205.38";"10.205.69";"10.205.31";"10.205.28";"10.205.27"},K13))),"Platform-Runtime and Azure OPS",
IF(OR(ISNUMBER(SEARCH({"10.229.16";"10.229.17";"10.229.18";"10.229.19";"10.229.20";"10.229.21";"10.229.25";"10.229.26"},K13))),"SDDC",
IF(OR(ISNUMBER(SEARCH({"10.220";"10.221";"10.222";"10.223";"10.224";"10.225";"10.227";"10.229"},K13))),"SDDC",
IF(OR(ISNUMBER(SEARCH({"10.226";"10.205"},K13))),"Azure OPS and SDDC",
IF(AND(NOT(ISNUMBER(SEARCH({"10.220";"10.221";"10.222";"10.223";"10.224";"10.225";"10.229";"10.226";"10.227";"10.205";"10.205.37";"10.205.38";"10.205.69";"10.205.31";"10.205.28";"10.205.27";"10.229.16";"10.229.17";"10.229.18";"10.229.19";"10.229.20";"10.229.21";"10.229.25";"10.229.26"},K13)))),"SCT SI - OCD",""))))))</f>
        <v>SCT SI - OCD</v>
      </c>
      <c r="W13" s="18"/>
    </row>
    <row r="14" spans="1:23" ht="17.399999999999999" x14ac:dyDescent="0.75">
      <c r="A14" s="18"/>
      <c r="B14" s="78">
        <v>1</v>
      </c>
      <c r="C14" s="171" t="s">
        <v>300</v>
      </c>
      <c r="D14" s="37">
        <v>290040</v>
      </c>
      <c r="E14" s="195" t="s">
        <v>294</v>
      </c>
      <c r="F14" s="196" t="s">
        <v>295</v>
      </c>
      <c r="G14" s="36"/>
      <c r="H14" s="36"/>
      <c r="I14" s="36"/>
      <c r="J14" s="194">
        <v>305159</v>
      </c>
      <c r="K14" s="195" t="s">
        <v>292</v>
      </c>
      <c r="L14" s="39" t="s">
        <v>293</v>
      </c>
      <c r="M14" s="36"/>
      <c r="N14" s="36"/>
      <c r="O14" s="36" t="s">
        <v>32</v>
      </c>
      <c r="P14" s="159">
        <v>55775</v>
      </c>
      <c r="Q14" s="40" t="s">
        <v>110</v>
      </c>
      <c r="R14" s="41" t="s">
        <v>111</v>
      </c>
      <c r="S14" s="42"/>
      <c r="T14" s="43"/>
      <c r="U14" s="131" t="str" cm="1">
        <f t="array" ref="U14">IF(E14="","",IF(OR(ISNUMBER(SEARCH({"10.205.37";"10.205.38";"10.205.69";"10.205.31";"10.205.28";"10.205.27"},E14))),"Platform-Runtime and Azure OPS",
IF(OR(ISNUMBER(SEARCH({"10.229.16";"10.229.17";"10.229.18";"10.229.19";"10.229.20";"10.229.21";"10.229.25";"10.229.26"},E14))),"SDDC",
IF(OR(ISNUMBER(SEARCH({"10.220";"10.221";"10.222";"10.223";"10.224";"10.225";"10.227";"10.229";"185.130.242"},E14))),"SDDC",
IF(OR(ISNUMBER(SEARCH({"10.226";"10.205"},E14))),"Azure OPS and SDDC",
IF(AND(NOT(ISNUMBER(SEARCH({"10.220";"10.221";"10.222";"10.223";"10.224";"10.225";"10.229";"10.226";"10.227";"10.205";"10.205.37";"10.205.38";"10.205.69";"10.205.31";"10.205.28";"10.205.27";"10.229.16";"10.229.17";"10.229.18";"10.229.19";"10.229.20";"10.229.21";"10.229.25";"10.229.26"},E14)))),"SCT SI - OCD",""))))))</f>
        <v>Platform-Runtime and Azure OPS</v>
      </c>
      <c r="V14" s="127" t="str" cm="1">
        <f t="array" ref="V14">IF(K14="","",IF(OR(ISNUMBER(SEARCH({"10.205.37";"10.205.38";"10.205.69";"10.205.31";"10.205.28";"10.205.27"},K14))),"Platform-Runtime and Azure OPS",
IF(OR(ISNUMBER(SEARCH({"10.229.16";"10.229.17";"10.229.18";"10.229.19";"10.229.20";"10.229.21";"10.229.25";"10.229.26"},K14))),"SDDC",
IF(OR(ISNUMBER(SEARCH({"10.220";"10.221";"10.222";"10.223";"10.224";"10.225";"10.227";"10.229"},K14))),"SDDC",
IF(OR(ISNUMBER(SEARCH({"10.226";"10.205"},K14))),"Azure OPS and SDDC",
IF(AND(NOT(ISNUMBER(SEARCH({"10.220";"10.221";"10.222";"10.223";"10.224";"10.225";"10.229";"10.226";"10.227";"10.205";"10.205.37";"10.205.38";"10.205.69";"10.205.31";"10.205.28";"10.205.27";"10.229.16";"10.229.17";"10.229.18";"10.229.19";"10.229.20";"10.229.21";"10.229.25";"10.229.26"},K14)))),"SCT SI - OCD",""))))))</f>
        <v>SCT SI - OCD</v>
      </c>
      <c r="W14" s="18"/>
    </row>
    <row r="15" spans="1:23" ht="17.399999999999999" x14ac:dyDescent="0.75">
      <c r="A15" s="18"/>
      <c r="B15" s="45">
        <v>2</v>
      </c>
      <c r="C15" s="170" t="s">
        <v>302</v>
      </c>
      <c r="D15" s="47">
        <v>290040</v>
      </c>
      <c r="E15" s="197" t="s">
        <v>296</v>
      </c>
      <c r="F15" s="198" t="s">
        <v>297</v>
      </c>
      <c r="G15" s="36"/>
      <c r="H15" s="36"/>
      <c r="I15" s="46"/>
      <c r="J15" s="194">
        <v>305159</v>
      </c>
      <c r="K15" s="195" t="s">
        <v>292</v>
      </c>
      <c r="L15" s="39" t="s">
        <v>293</v>
      </c>
      <c r="M15" s="36"/>
      <c r="N15" s="36"/>
      <c r="O15" s="36" t="s">
        <v>32</v>
      </c>
      <c r="P15" s="159">
        <v>55775</v>
      </c>
      <c r="Q15" s="40" t="s">
        <v>110</v>
      </c>
      <c r="R15" s="41" t="s">
        <v>111</v>
      </c>
      <c r="S15" s="42"/>
      <c r="T15" s="50"/>
      <c r="U15" s="131" t="str" cm="1">
        <f t="array" ref="U15">IF(E15="","",IF(OR(ISNUMBER(SEARCH({"10.205.37";"10.205.38";"10.205.69";"10.205.31";"10.205.28";"10.205.27"},E15))),"Platform-Runtime and Azure OPS",
IF(OR(ISNUMBER(SEARCH({"10.229.16";"10.229.17";"10.229.18";"10.229.19";"10.229.20";"10.229.21";"10.229.25";"10.229.26"},E15))),"SDDC",
IF(OR(ISNUMBER(SEARCH({"10.220";"10.221";"10.222";"10.223";"10.224";"10.225";"10.227";"10.229";"185.130.242"},E15))),"SDDC",
IF(OR(ISNUMBER(SEARCH({"10.226";"10.205"},E15))),"Azure OPS and SDDC",
IF(AND(NOT(ISNUMBER(SEARCH({"10.220";"10.221";"10.222";"10.223";"10.224";"10.225";"10.229";"10.226";"10.227";"10.205";"10.205.37";"10.205.38";"10.205.69";"10.205.31";"10.205.28";"10.205.27";"10.229.16";"10.229.17";"10.229.18";"10.229.19";"10.229.20";"10.229.21";"10.229.25";"10.229.26"},E15)))),"SCT SI - OCD",""))))))</f>
        <v>SDDC</v>
      </c>
      <c r="V15" s="127" t="str" cm="1">
        <f t="array" ref="V15">IF(K15="","",IF(OR(ISNUMBER(SEARCH({"10.205.37";"10.205.38";"10.205.69";"10.205.31";"10.205.28";"10.205.27"},K15))),"Platform-Runtime and Azure OPS",
IF(OR(ISNUMBER(SEARCH({"10.229.16";"10.229.17";"10.229.18";"10.229.19";"10.229.20";"10.229.21";"10.229.25";"10.229.26"},K15))),"SDDC",
IF(OR(ISNUMBER(SEARCH({"10.220";"10.221";"10.222";"10.223";"10.224";"10.225";"10.227";"10.229"},K15))),"SDDC",
IF(OR(ISNUMBER(SEARCH({"10.226";"10.205"},K15))),"Azure OPS and SDDC",
IF(AND(NOT(ISNUMBER(SEARCH({"10.220";"10.221";"10.222";"10.223";"10.224";"10.225";"10.229";"10.226";"10.227";"10.205";"10.205.37";"10.205.38";"10.205.69";"10.205.31";"10.205.28";"10.205.27";"10.229.16";"10.229.17";"10.229.18";"10.229.19";"10.229.20";"10.229.21";"10.229.25";"10.229.26"},K15)))),"SCT SI - OCD",""))))))</f>
        <v>SCT SI - OCD</v>
      </c>
      <c r="W15" s="126"/>
    </row>
    <row r="16" spans="1:23" ht="17.399999999999999" x14ac:dyDescent="0.75">
      <c r="A16" s="18"/>
      <c r="B16" s="45">
        <v>3</v>
      </c>
      <c r="C16" s="170" t="s">
        <v>302</v>
      </c>
      <c r="D16" s="47">
        <v>290040</v>
      </c>
      <c r="E16" s="197" t="s">
        <v>298</v>
      </c>
      <c r="F16" s="199" t="s">
        <v>299</v>
      </c>
      <c r="G16" s="36"/>
      <c r="H16" s="46"/>
      <c r="I16" s="46"/>
      <c r="J16" s="194">
        <v>305159</v>
      </c>
      <c r="K16" s="195" t="s">
        <v>292</v>
      </c>
      <c r="L16" s="39" t="s">
        <v>293</v>
      </c>
      <c r="M16" s="36"/>
      <c r="N16" s="36"/>
      <c r="O16" s="36" t="s">
        <v>32</v>
      </c>
      <c r="P16" s="159">
        <v>55775</v>
      </c>
      <c r="Q16" s="40" t="s">
        <v>110</v>
      </c>
      <c r="R16" s="41" t="s">
        <v>111</v>
      </c>
      <c r="S16" s="42"/>
      <c r="T16" s="50"/>
      <c r="U16" s="131" t="str" cm="1">
        <f t="array" ref="U16">IF(E16="","",IF(OR(ISNUMBER(SEARCH({"10.205.37";"10.205.38";"10.205.69";"10.205.31";"10.205.28";"10.205.27"},E16))),"Platform-Runtime and Azure OPS",
IF(OR(ISNUMBER(SEARCH({"10.229.16";"10.229.17";"10.229.18";"10.229.19";"10.229.20";"10.229.21";"10.229.25";"10.229.26"},E16))),"SDDC",
IF(OR(ISNUMBER(SEARCH({"10.220";"10.221";"10.222";"10.223";"10.224";"10.225";"10.227";"10.229";"185.130.242"},E16))),"SDDC",
IF(OR(ISNUMBER(SEARCH({"10.226";"10.205"},E16))),"Azure OPS and SDDC",
IF(AND(NOT(ISNUMBER(SEARCH({"10.220";"10.221";"10.222";"10.223";"10.224";"10.225";"10.229";"10.226";"10.227";"10.205";"10.205.37";"10.205.38";"10.205.69";"10.205.31";"10.205.28";"10.205.27";"10.229.16";"10.229.17";"10.229.18";"10.229.19";"10.229.20";"10.229.21";"10.229.25";"10.229.26"},E16)))),"SCT SI - OCD",""))))))</f>
        <v>SDDC</v>
      </c>
      <c r="V16" s="127" t="str" cm="1">
        <f t="array" ref="V16">IF(K16="","",IF(OR(ISNUMBER(SEARCH({"10.205.37";"10.205.38";"10.205.69";"10.205.31";"10.205.28";"10.205.27"},K16))),"Platform-Runtime and Azure OPS",
IF(OR(ISNUMBER(SEARCH({"10.229.16";"10.229.17";"10.229.18";"10.229.19";"10.229.20";"10.229.21";"10.229.25";"10.229.26"},K16))),"SDDC",
IF(OR(ISNUMBER(SEARCH({"10.220";"10.221";"10.222";"10.223";"10.224";"10.225";"10.227";"10.229"},K16))),"SDDC",
IF(OR(ISNUMBER(SEARCH({"10.226";"10.205"},K16))),"Azure OPS and SDDC",
IF(AND(NOT(ISNUMBER(SEARCH({"10.220";"10.221";"10.222";"10.223";"10.224";"10.225";"10.229";"10.226";"10.227";"10.205";"10.205.37";"10.205.38";"10.205.69";"10.205.31";"10.205.28";"10.205.27";"10.229.16";"10.229.17";"10.229.18";"10.229.19";"10.229.20";"10.229.21";"10.229.25";"10.229.26"},K16)))),"SCT SI - OCD",""))))))</f>
        <v>SCT SI - OCD</v>
      </c>
      <c r="W16" s="126"/>
    </row>
    <row r="17" spans="1:23" x14ac:dyDescent="0.7">
      <c r="A17" s="18"/>
      <c r="B17" s="45">
        <v>4</v>
      </c>
      <c r="C17" s="170"/>
      <c r="D17" s="47"/>
      <c r="E17" s="49"/>
      <c r="F17" s="46"/>
      <c r="G17" s="36"/>
      <c r="H17" s="46"/>
      <c r="I17" s="46"/>
      <c r="J17" s="170"/>
      <c r="K17" s="49"/>
      <c r="L17" s="36"/>
      <c r="M17" s="36"/>
      <c r="N17" s="36"/>
      <c r="O17" s="36"/>
      <c r="P17" s="159"/>
      <c r="Q17" s="40"/>
      <c r="R17" s="41" t="s">
        <v>47</v>
      </c>
      <c r="S17" s="42"/>
      <c r="T17" s="50"/>
      <c r="U17" s="131" t="str" cm="1">
        <f t="array" ref="U17">IF(E17="","",IF(OR(ISNUMBER(SEARCH({"10.205.37";"10.205.38";"10.205.69";"10.205.31";"10.205.28";"10.205.27"},E17))),"Platform-Runtime and Azure OPS",
IF(OR(ISNUMBER(SEARCH({"10.229.16";"10.229.17";"10.229.18";"10.229.19";"10.229.20";"10.229.21";"10.229.25";"10.229.26"},E17))),"SDDC",
IF(OR(ISNUMBER(SEARCH({"10.220";"10.221";"10.222";"10.223";"10.224";"10.225";"10.227";"10.229";"185.130.242"},E17))),"SDDC",
IF(OR(ISNUMBER(SEARCH({"10.226";"10.205"},E17))),"Azure OPS and SDDC",
IF(AND(NOT(ISNUMBER(SEARCH({"10.220";"10.221";"10.222";"10.223";"10.224";"10.225";"10.229";"10.226";"10.227";"10.205";"10.205.37";"10.205.38";"10.205.69";"10.205.31";"10.205.28";"10.205.27";"10.229.16";"10.229.17";"10.229.18";"10.229.19";"10.229.20";"10.229.21";"10.229.25";"10.229.26"},E17)))),"SCT SI - OCD",""))))))</f>
        <v/>
      </c>
      <c r="V17" s="127" t="str" cm="1">
        <f t="array" ref="V17">IF(K17="","",IF(OR(ISNUMBER(SEARCH({"10.205.37";"10.205.38";"10.205.69";"10.205.31";"10.205.28";"10.205.27"},K17))),"Platform-Runtime and Azure OPS",
IF(OR(ISNUMBER(SEARCH({"10.229.16";"10.229.17";"10.229.18";"10.229.19";"10.229.20";"10.229.21";"10.229.25";"10.229.26"},K17))),"SDDC",
IF(OR(ISNUMBER(SEARCH({"10.220";"10.221";"10.222";"10.223";"10.224";"10.225";"10.227";"10.229"},K17))),"SDDC",
IF(OR(ISNUMBER(SEARCH({"10.226";"10.205"},K17))),"Azure OPS and SDDC",
IF(AND(NOT(ISNUMBER(SEARCH({"10.220";"10.221";"10.222";"10.223";"10.224";"10.225";"10.229";"10.226";"10.227";"10.205";"10.205.37";"10.205.38";"10.205.69";"10.205.31";"10.205.28";"10.205.27";"10.229.16";"10.229.17";"10.229.18";"10.229.19";"10.229.20";"10.229.21";"10.229.25";"10.229.26"},K17)))),"SCT SI - OCD",""))))))</f>
        <v/>
      </c>
      <c r="W17" s="126"/>
    </row>
    <row r="18" spans="1:23" x14ac:dyDescent="0.7">
      <c r="A18" s="18"/>
      <c r="B18" s="45">
        <v>5</v>
      </c>
      <c r="C18" s="170"/>
      <c r="D18" s="47"/>
      <c r="E18" s="49"/>
      <c r="F18" s="46"/>
      <c r="G18" s="36"/>
      <c r="H18" s="46"/>
      <c r="I18" s="46"/>
      <c r="J18" s="170"/>
      <c r="K18" s="49"/>
      <c r="L18" s="36"/>
      <c r="M18" s="36"/>
      <c r="N18" s="36"/>
      <c r="O18" s="36"/>
      <c r="P18" s="159"/>
      <c r="Q18" s="40"/>
      <c r="R18" s="41" t="s">
        <v>47</v>
      </c>
      <c r="S18" s="42"/>
      <c r="T18" s="50"/>
      <c r="U18" s="131" t="str" cm="1">
        <f t="array" ref="U18">IF(E18="","",IF(OR(ISNUMBER(SEARCH({"10.205.37";"10.205.38";"10.205.69";"10.205.31";"10.205.28";"10.205.27"},E18))),"Platform-Runtime and Azure OPS",
IF(OR(ISNUMBER(SEARCH({"10.229.16";"10.229.17";"10.229.18";"10.229.19";"10.229.20";"10.229.21";"10.229.25";"10.229.26"},E18))),"SDDC",
IF(OR(ISNUMBER(SEARCH({"10.220";"10.221";"10.222";"10.223";"10.224";"10.225";"10.227";"10.229";"185.130.242"},E18))),"SDDC",
IF(OR(ISNUMBER(SEARCH({"10.226";"10.205"},E18))),"Azure OPS and SDDC",
IF(AND(NOT(ISNUMBER(SEARCH({"10.220";"10.221";"10.222";"10.223";"10.224";"10.225";"10.229";"10.226";"10.227";"10.205";"10.205.37";"10.205.38";"10.205.69";"10.205.31";"10.205.28";"10.205.27";"10.229.16";"10.229.17";"10.229.18";"10.229.19";"10.229.20";"10.229.21";"10.229.25";"10.229.26"},E18)))),"SCT SI - OCD",""))))))</f>
        <v/>
      </c>
      <c r="V18" s="127" t="str" cm="1">
        <f t="array" ref="V18">IF(K18="","",IF(OR(ISNUMBER(SEARCH({"10.205.37";"10.205.38";"10.205.69";"10.205.31";"10.205.28";"10.205.27"},K18))),"Platform-Runtime and Azure OPS",
IF(OR(ISNUMBER(SEARCH({"10.229.16";"10.229.17";"10.229.18";"10.229.19";"10.229.20";"10.229.21";"10.229.25";"10.229.26"},K18))),"SDDC",
IF(OR(ISNUMBER(SEARCH({"10.220";"10.221";"10.222";"10.223";"10.224";"10.225";"10.227";"10.229"},K18))),"SDDC",
IF(OR(ISNUMBER(SEARCH({"10.226";"10.205"},K18))),"Azure OPS and SDDC",
IF(AND(NOT(ISNUMBER(SEARCH({"10.220";"10.221";"10.222";"10.223";"10.224";"10.225";"10.229";"10.226";"10.227";"10.205";"10.205.37";"10.205.38";"10.205.69";"10.205.31";"10.205.28";"10.205.27";"10.229.16";"10.229.17";"10.229.18";"10.229.19";"10.229.20";"10.229.21";"10.229.25";"10.229.26"},K18)))),"SCT SI - OCD",""))))))</f>
        <v/>
      </c>
      <c r="W18" s="18"/>
    </row>
    <row r="19" spans="1:23" x14ac:dyDescent="0.7">
      <c r="A19" s="18"/>
      <c r="B19" s="45">
        <v>6</v>
      </c>
      <c r="C19" s="170"/>
      <c r="D19" s="47"/>
      <c r="E19" s="49"/>
      <c r="F19" s="46"/>
      <c r="G19" s="36"/>
      <c r="H19" s="46"/>
      <c r="I19" s="46"/>
      <c r="J19" s="170"/>
      <c r="K19" s="49"/>
      <c r="L19" s="36"/>
      <c r="M19" s="36"/>
      <c r="N19" s="36"/>
      <c r="O19" s="36"/>
      <c r="P19" s="159"/>
      <c r="Q19" s="40"/>
      <c r="R19" s="41" t="s">
        <v>47</v>
      </c>
      <c r="S19" s="42"/>
      <c r="T19" s="50"/>
      <c r="U19" s="131" t="str" cm="1">
        <f t="array" ref="U19">IF(E19="","",IF(OR(ISNUMBER(SEARCH({"10.205.37";"10.205.38";"10.205.69";"10.205.31";"10.205.28";"10.205.27"},E19))),"Platform-Runtime and Azure OPS",
IF(OR(ISNUMBER(SEARCH({"10.229.16";"10.229.17";"10.229.18";"10.229.19";"10.229.20";"10.229.21";"10.229.25";"10.229.26"},E19))),"SDDC",
IF(OR(ISNUMBER(SEARCH({"10.220";"10.221";"10.222";"10.223";"10.224";"10.225";"10.227";"10.229";"185.130.242"},E19))),"SDDC",
IF(OR(ISNUMBER(SEARCH({"10.226";"10.205"},E19))),"Azure OPS and SDDC",
IF(AND(NOT(ISNUMBER(SEARCH({"10.220";"10.221";"10.222";"10.223";"10.224";"10.225";"10.229";"10.226";"10.227";"10.205";"10.205.37";"10.205.38";"10.205.69";"10.205.31";"10.205.28";"10.205.27";"10.229.16";"10.229.17";"10.229.18";"10.229.19";"10.229.20";"10.229.21";"10.229.25";"10.229.26"},E19)))),"SCT SI - OCD",""))))))</f>
        <v/>
      </c>
      <c r="V19" s="127" t="str" cm="1">
        <f t="array" ref="V19">IF(K19="","",IF(OR(ISNUMBER(SEARCH({"10.205.37";"10.205.38";"10.205.69";"10.205.31";"10.205.28";"10.205.27"},K19))),"Platform-Runtime and Azure OPS",
IF(OR(ISNUMBER(SEARCH({"10.229.16";"10.229.17";"10.229.18";"10.229.19";"10.229.20";"10.229.21";"10.229.25";"10.229.26"},K19))),"SDDC",
IF(OR(ISNUMBER(SEARCH({"10.220";"10.221";"10.222";"10.223";"10.224";"10.225";"10.227";"10.229"},K19))),"SDDC",
IF(OR(ISNUMBER(SEARCH({"10.226";"10.205"},K19))),"Azure OPS and SDDC",
IF(AND(NOT(ISNUMBER(SEARCH({"10.220";"10.221";"10.222";"10.223";"10.224";"10.225";"10.229";"10.226";"10.227";"10.205";"10.205.37";"10.205.38";"10.205.69";"10.205.31";"10.205.28";"10.205.27";"10.229.16";"10.229.17";"10.229.18";"10.229.19";"10.229.20";"10.229.21";"10.229.25";"10.229.26"},K19)))),"SCT SI - OCD",""))))))</f>
        <v/>
      </c>
      <c r="W19" s="126"/>
    </row>
    <row r="20" spans="1:23" x14ac:dyDescent="0.7">
      <c r="A20" s="18"/>
      <c r="B20" s="45">
        <v>7</v>
      </c>
      <c r="C20" s="170"/>
      <c r="D20" s="47"/>
      <c r="E20" s="48"/>
      <c r="F20" s="46"/>
      <c r="G20" s="36"/>
      <c r="H20" s="46"/>
      <c r="I20" s="46"/>
      <c r="J20" s="170"/>
      <c r="K20" s="49"/>
      <c r="L20" s="36"/>
      <c r="M20" s="36"/>
      <c r="N20" s="36"/>
      <c r="O20" s="36"/>
      <c r="P20" s="159"/>
      <c r="Q20" s="40"/>
      <c r="R20" s="41" t="s">
        <v>47</v>
      </c>
      <c r="S20" s="42"/>
      <c r="T20" s="50"/>
      <c r="U20" s="131" t="str" cm="1">
        <f t="array" ref="U20">IF(E20="","",IF(OR(ISNUMBER(SEARCH({"10.205.37";"10.205.38";"10.205.69";"10.205.31";"10.205.28";"10.205.27"},E20))),"Platform-Runtime and Azure OPS",
IF(OR(ISNUMBER(SEARCH({"10.229.16";"10.229.17";"10.229.18";"10.229.19";"10.229.20";"10.229.21";"10.229.25";"10.229.26"},E20))),"SDDC",
IF(OR(ISNUMBER(SEARCH({"10.220";"10.221";"10.222";"10.223";"10.224";"10.225";"10.227";"10.229";"185.130.242"},E20))),"SDDC",
IF(OR(ISNUMBER(SEARCH({"10.226";"10.205"},E20))),"Azure OPS and SDDC",
IF(AND(NOT(ISNUMBER(SEARCH({"10.220";"10.221";"10.222";"10.223";"10.224";"10.225";"10.229";"10.226";"10.227";"10.205";"10.205.37";"10.205.38";"10.205.69";"10.205.31";"10.205.28";"10.205.27";"10.229.16";"10.229.17";"10.229.18";"10.229.19";"10.229.20";"10.229.21";"10.229.25";"10.229.26"},E20)))),"SCT SI - OCD",""))))))</f>
        <v/>
      </c>
      <c r="V20" s="127" t="str" cm="1">
        <f t="array" ref="V20">IF(K20="","",IF(OR(ISNUMBER(SEARCH({"10.205.37";"10.205.38";"10.205.69";"10.205.31";"10.205.28";"10.205.27"},K20))),"Platform-Runtime and Azure OPS",
IF(OR(ISNUMBER(SEARCH({"10.229.16";"10.229.17";"10.229.18";"10.229.19";"10.229.20";"10.229.21";"10.229.25";"10.229.26"},K20))),"SDDC",
IF(OR(ISNUMBER(SEARCH({"10.220";"10.221";"10.222";"10.223";"10.224";"10.225";"10.227";"10.229"},K20))),"SDDC",
IF(OR(ISNUMBER(SEARCH({"10.226";"10.205"},K20))),"Azure OPS and SDDC",
IF(AND(NOT(ISNUMBER(SEARCH({"10.220";"10.221";"10.222";"10.223";"10.224";"10.225";"10.229";"10.226";"10.227";"10.205";"10.205.37";"10.205.38";"10.205.69";"10.205.31";"10.205.28";"10.205.27";"10.229.16";"10.229.17";"10.229.18";"10.229.19";"10.229.20";"10.229.21";"10.229.25";"10.229.26"},K20)))),"SCT SI - OCD",""))))))</f>
        <v/>
      </c>
      <c r="W20" s="18"/>
    </row>
    <row r="21" spans="1:23" x14ac:dyDescent="0.7">
      <c r="A21" s="18"/>
      <c r="B21" s="45">
        <v>8</v>
      </c>
      <c r="C21" s="170"/>
      <c r="D21" s="47"/>
      <c r="E21" s="48"/>
      <c r="F21" s="46"/>
      <c r="G21" s="36"/>
      <c r="H21" s="46"/>
      <c r="I21" s="46"/>
      <c r="J21" s="170"/>
      <c r="K21" s="49"/>
      <c r="L21" s="36"/>
      <c r="M21" s="36"/>
      <c r="N21" s="36"/>
      <c r="O21" s="36"/>
      <c r="P21" s="159"/>
      <c r="Q21" s="40"/>
      <c r="R21" s="41"/>
      <c r="S21" s="42"/>
      <c r="T21" s="50"/>
      <c r="U21" s="131" t="str" cm="1">
        <f t="array" ref="U21">IF(E21="","",IF(OR(ISNUMBER(SEARCH({"10.205.37";"10.205.38";"10.205.69";"10.205.31";"10.205.28";"10.205.27"},E21))),"Platform-Runtime and Azure OPS",
IF(OR(ISNUMBER(SEARCH({"10.229.16";"10.229.17";"10.229.18";"10.229.19";"10.229.20";"10.229.21";"10.229.25";"10.229.26"},E21))),"SDDC",
IF(OR(ISNUMBER(SEARCH({"10.220";"10.221";"10.222";"10.223";"10.224";"10.225";"10.227";"10.229";"185.130.242"},E21))),"SDDC",
IF(OR(ISNUMBER(SEARCH({"10.226";"10.205"},E21))),"Azure OPS and SDDC",
IF(AND(NOT(ISNUMBER(SEARCH({"10.220";"10.221";"10.222";"10.223";"10.224";"10.225";"10.229";"10.226";"10.227";"10.205";"10.205.37";"10.205.38";"10.205.69";"10.205.31";"10.205.28";"10.205.27";"10.229.16";"10.229.17";"10.229.18";"10.229.19";"10.229.20";"10.229.21";"10.229.25";"10.229.26"},E21)))),"SCT SI - OCD",""))))))</f>
        <v/>
      </c>
      <c r="V21" s="127" t="str" cm="1">
        <f t="array" ref="V21">IF(K21="","",IF(OR(ISNUMBER(SEARCH({"10.205.37";"10.205.38";"10.205.69";"10.205.31";"10.205.28";"10.205.27"},K21))),"Platform-Runtime and Azure OPS",
IF(OR(ISNUMBER(SEARCH({"10.229.16";"10.229.17";"10.229.18";"10.229.19";"10.229.20";"10.229.21";"10.229.25";"10.229.26"},K21))),"SDDC",
IF(OR(ISNUMBER(SEARCH({"10.220";"10.221";"10.222";"10.223";"10.224";"10.225";"10.227";"10.229"},K21))),"SDDC",
IF(OR(ISNUMBER(SEARCH({"10.226";"10.205"},K21))),"Azure OPS and SDDC",
IF(AND(NOT(ISNUMBER(SEARCH({"10.220";"10.221";"10.222";"10.223";"10.224";"10.225";"10.229";"10.226";"10.227";"10.205";"10.205.37";"10.205.38";"10.205.69";"10.205.31";"10.205.28";"10.205.27";"10.229.16";"10.229.17";"10.229.18";"10.229.19";"10.229.20";"10.229.21";"10.229.25";"10.229.26"},K21)))),"SCT SI - OCD",""))))))</f>
        <v/>
      </c>
      <c r="W21" s="126"/>
    </row>
    <row r="22" spans="1:23" x14ac:dyDescent="0.7">
      <c r="A22" s="18"/>
      <c r="B22" s="45">
        <v>9</v>
      </c>
      <c r="C22" s="170"/>
      <c r="D22" s="47"/>
      <c r="E22" s="48"/>
      <c r="F22" s="46"/>
      <c r="G22" s="36"/>
      <c r="H22" s="46"/>
      <c r="I22" s="46"/>
      <c r="J22" s="170"/>
      <c r="K22" s="49"/>
      <c r="L22" s="36"/>
      <c r="M22" s="36"/>
      <c r="N22" s="36"/>
      <c r="O22" s="36"/>
      <c r="P22" s="159"/>
      <c r="Q22" s="40"/>
      <c r="R22" s="41" t="s">
        <v>47</v>
      </c>
      <c r="S22" s="42"/>
      <c r="T22" s="50"/>
      <c r="U22" s="131" t="str" cm="1">
        <f t="array" ref="U22">IF(E22="","",IF(OR(ISNUMBER(SEARCH({"10.205.37";"10.205.38";"10.205.69";"10.205.31";"10.205.28";"10.205.27"},E22))),"Platform-Runtime and Azure OPS",
IF(OR(ISNUMBER(SEARCH({"10.229.16";"10.229.17";"10.229.18";"10.229.19";"10.229.20";"10.229.21";"10.229.25";"10.229.26"},E22))),"SDDC",
IF(OR(ISNUMBER(SEARCH({"10.220";"10.221";"10.222";"10.223";"10.224";"10.225";"10.227";"10.229";"185.130.242"},E22))),"SDDC",
IF(OR(ISNUMBER(SEARCH({"10.226";"10.205"},E22))),"Azure OPS and SDDC",
IF(AND(NOT(ISNUMBER(SEARCH({"10.220";"10.221";"10.222";"10.223";"10.224";"10.225";"10.229";"10.226";"10.227";"10.205";"10.205.37";"10.205.38";"10.205.69";"10.205.31";"10.205.28";"10.205.27";"10.229.16";"10.229.17";"10.229.18";"10.229.19";"10.229.20";"10.229.21";"10.229.25";"10.229.26"},E22)))),"SCT SI - OCD",""))))))</f>
        <v/>
      </c>
      <c r="V22" s="127" t="str" cm="1">
        <f t="array" ref="V22">IF(K22="","",IF(OR(ISNUMBER(SEARCH({"10.205.37";"10.205.38";"10.205.69";"10.205.31";"10.205.28";"10.205.27"},K22))),"Platform-Runtime and Azure OPS",
IF(OR(ISNUMBER(SEARCH({"10.229.16";"10.229.17";"10.229.18";"10.229.19";"10.229.20";"10.229.21";"10.229.25";"10.229.26"},K22))),"SDDC",
IF(OR(ISNUMBER(SEARCH({"10.220";"10.221";"10.222";"10.223";"10.224";"10.225";"10.227";"10.229"},K22))),"SDDC",
IF(OR(ISNUMBER(SEARCH({"10.226";"10.205"},K22))),"Azure OPS and SDDC",
IF(AND(NOT(ISNUMBER(SEARCH({"10.220";"10.221";"10.222";"10.223";"10.224";"10.225";"10.229";"10.226";"10.227";"10.205";"10.205.37";"10.205.38";"10.205.69";"10.205.31";"10.205.28";"10.205.27";"10.229.16";"10.229.17";"10.229.18";"10.229.19";"10.229.20";"10.229.21";"10.229.25";"10.229.26"},K22)))),"SCT SI - OCD",""))))))</f>
        <v/>
      </c>
      <c r="W22" s="126"/>
    </row>
    <row r="23" spans="1:23" x14ac:dyDescent="0.7">
      <c r="A23" s="18"/>
      <c r="B23" s="45">
        <v>10</v>
      </c>
      <c r="C23" s="170"/>
      <c r="D23" s="47"/>
      <c r="E23" s="48"/>
      <c r="F23" s="46"/>
      <c r="G23" s="36"/>
      <c r="H23" s="46"/>
      <c r="I23" s="46"/>
      <c r="J23" s="170"/>
      <c r="K23" s="49"/>
      <c r="L23" s="36"/>
      <c r="M23" s="36"/>
      <c r="N23" s="36"/>
      <c r="O23" s="36"/>
      <c r="P23" s="159"/>
      <c r="Q23" s="40"/>
      <c r="R23" s="41" t="s">
        <v>47</v>
      </c>
      <c r="S23" s="42"/>
      <c r="T23" s="50"/>
      <c r="U23" s="131" t="str" cm="1">
        <f t="array" ref="U23">IF(E23="","",IF(OR(ISNUMBER(SEARCH({"10.205.37";"10.205.38";"10.205.69";"10.205.31";"10.205.28";"10.205.27"},E23))),"Platform-Runtime and Azure OPS",
IF(OR(ISNUMBER(SEARCH({"10.229.16";"10.229.17";"10.229.18";"10.229.19";"10.229.20";"10.229.21";"10.229.25";"10.229.26"},E23))),"SDDC",
IF(OR(ISNUMBER(SEARCH({"10.220";"10.221";"10.222";"10.223";"10.224";"10.225";"10.227";"10.229";"185.130.242"},E23))),"SDDC",
IF(OR(ISNUMBER(SEARCH({"10.226";"10.205"},E23))),"Azure OPS and SDDC",
IF(AND(NOT(ISNUMBER(SEARCH({"10.220";"10.221";"10.222";"10.223";"10.224";"10.225";"10.229";"10.226";"10.227";"10.205";"10.205.37";"10.205.38";"10.205.69";"10.205.31";"10.205.28";"10.205.27";"10.229.16";"10.229.17";"10.229.18";"10.229.19";"10.229.20";"10.229.21";"10.229.25";"10.229.26"},E23)))),"SCT SI - OCD",""))))))</f>
        <v/>
      </c>
      <c r="V23" s="127" t="str" cm="1">
        <f t="array" ref="V23">IF(K23="","",IF(OR(ISNUMBER(SEARCH({"10.205.37";"10.205.38";"10.205.69";"10.205.31";"10.205.28";"10.205.27"},K23))),"Platform-Runtime and Azure OPS",
IF(OR(ISNUMBER(SEARCH({"10.229.16";"10.229.17";"10.229.18";"10.229.19";"10.229.20";"10.229.21";"10.229.25";"10.229.26"},K23))),"SDDC",
IF(OR(ISNUMBER(SEARCH({"10.220";"10.221";"10.222";"10.223";"10.224";"10.225";"10.227";"10.229"},K23))),"SDDC",
IF(OR(ISNUMBER(SEARCH({"10.226";"10.205"},K23))),"Azure OPS and SDDC",
IF(AND(NOT(ISNUMBER(SEARCH({"10.220";"10.221";"10.222";"10.223";"10.224";"10.225";"10.229";"10.226";"10.227";"10.205";"10.205.37";"10.205.38";"10.205.69";"10.205.31";"10.205.28";"10.205.27";"10.229.16";"10.229.17";"10.229.18";"10.229.19";"10.229.20";"10.229.21";"10.229.25";"10.229.26"},K23)))),"SCT SI - OCD",""))))))</f>
        <v/>
      </c>
      <c r="W23" s="18"/>
    </row>
    <row r="24" spans="1:23" x14ac:dyDescent="0.7">
      <c r="A24" s="18"/>
      <c r="B24" s="45">
        <v>11</v>
      </c>
      <c r="C24" s="170"/>
      <c r="D24" s="47"/>
      <c r="E24" s="48"/>
      <c r="F24" s="36"/>
      <c r="G24" s="36"/>
      <c r="H24" s="46"/>
      <c r="I24" s="46"/>
      <c r="J24" s="170"/>
      <c r="K24" s="49"/>
      <c r="L24" s="51"/>
      <c r="M24" s="36"/>
      <c r="N24" s="36"/>
      <c r="O24" s="36"/>
      <c r="P24" s="159"/>
      <c r="Q24" s="40"/>
      <c r="R24" s="41" t="s">
        <v>47</v>
      </c>
      <c r="S24" s="42"/>
      <c r="T24" s="50"/>
      <c r="U24" s="131" t="str" cm="1">
        <f t="array" ref="U24">IF(E24="","",IF(OR(ISNUMBER(SEARCH({"10.205.37";"10.205.38";"10.205.69";"10.205.31";"10.205.28";"10.205.27"},E24))),"Platform-Runtime and Azure OPS",
IF(OR(ISNUMBER(SEARCH({"10.229.16";"10.229.17";"10.229.18";"10.229.19";"10.229.20";"10.229.21";"10.229.25";"10.229.26"},E24))),"SDDC",
IF(OR(ISNUMBER(SEARCH({"10.220";"10.221";"10.222";"10.223";"10.224";"10.225";"10.227";"10.229";"185.130.242"},E24))),"SDDC",
IF(OR(ISNUMBER(SEARCH({"10.226";"10.205"},E24))),"Azure OPS and SDDC",
IF(AND(NOT(ISNUMBER(SEARCH({"10.220";"10.221";"10.222";"10.223";"10.224";"10.225";"10.229";"10.226";"10.227";"10.205";"10.205.37";"10.205.38";"10.205.69";"10.205.31";"10.205.28";"10.205.27";"10.229.16";"10.229.17";"10.229.18";"10.229.19";"10.229.20";"10.229.21";"10.229.25";"10.229.26"},E24)))),"SCT SI - OCD",""))))))</f>
        <v/>
      </c>
      <c r="V24" s="127" t="str" cm="1">
        <f t="array" ref="V24">IF(K24="","",IF(OR(ISNUMBER(SEARCH({"10.205.37";"10.205.38";"10.205.69";"10.205.31";"10.205.28";"10.205.27"},K24))),"Platform-Runtime and Azure OPS",
IF(OR(ISNUMBER(SEARCH({"10.229.16";"10.229.17";"10.229.18";"10.229.19";"10.229.20";"10.229.21";"10.229.25";"10.229.26"},K24))),"SDDC",
IF(OR(ISNUMBER(SEARCH({"10.220";"10.221";"10.222";"10.223";"10.224";"10.225";"10.227";"10.229"},K24))),"SDDC",
IF(OR(ISNUMBER(SEARCH({"10.226";"10.205"},K24))),"Azure OPS and SDDC",
IF(AND(NOT(ISNUMBER(SEARCH({"10.220";"10.221";"10.222";"10.223";"10.224";"10.225";"10.229";"10.226";"10.227";"10.205";"10.205.37";"10.205.38";"10.205.69";"10.205.31";"10.205.28";"10.205.27";"10.229.16";"10.229.17";"10.229.18";"10.229.19";"10.229.20";"10.229.21";"10.229.25";"10.229.26"},K24)))),"SCT SI - OCD",""))))))</f>
        <v/>
      </c>
      <c r="W24" s="18"/>
    </row>
    <row r="25" spans="1:23" x14ac:dyDescent="0.7">
      <c r="A25" s="18"/>
      <c r="B25" s="45">
        <v>12</v>
      </c>
      <c r="C25" s="170"/>
      <c r="D25" s="47"/>
      <c r="E25" s="48"/>
      <c r="F25" s="46"/>
      <c r="G25" s="36"/>
      <c r="H25" s="46"/>
      <c r="I25" s="46"/>
      <c r="J25" s="170"/>
      <c r="K25" s="49"/>
      <c r="L25" s="36"/>
      <c r="M25" s="36"/>
      <c r="N25" s="36"/>
      <c r="O25" s="36"/>
      <c r="P25" s="159"/>
      <c r="Q25" s="40"/>
      <c r="R25" s="41" t="s">
        <v>47</v>
      </c>
      <c r="S25" s="42"/>
      <c r="T25" s="50"/>
      <c r="U25" s="131" t="str" cm="1">
        <f t="array" ref="U25">IF(E25="","",IF(OR(ISNUMBER(SEARCH({"10.205.37";"10.205.38";"10.205.69";"10.205.31";"10.205.28";"10.205.27"},E25))),"Platform-Runtime and Azure OPS",
IF(OR(ISNUMBER(SEARCH({"10.229.16";"10.229.17";"10.229.18";"10.229.19";"10.229.20";"10.229.21";"10.229.25";"10.229.26"},E25))),"SDDC",
IF(OR(ISNUMBER(SEARCH({"10.220";"10.221";"10.222";"10.223";"10.224";"10.225";"10.227";"10.229";"185.130.242"},E25))),"SDDC",
IF(OR(ISNUMBER(SEARCH({"10.226";"10.205"},E25))),"Azure OPS and SDDC",
IF(AND(NOT(ISNUMBER(SEARCH({"10.220";"10.221";"10.222";"10.223";"10.224";"10.225";"10.229";"10.226";"10.227";"10.205";"10.205.37";"10.205.38";"10.205.69";"10.205.31";"10.205.28";"10.205.27";"10.229.16";"10.229.17";"10.229.18";"10.229.19";"10.229.20";"10.229.21";"10.229.25";"10.229.26"},E25)))),"SCT SI - OCD",""))))))</f>
        <v/>
      </c>
      <c r="V25" s="127" t="str" cm="1">
        <f t="array" ref="V25">IF(K25="","",IF(OR(ISNUMBER(SEARCH({"10.205.37";"10.205.38";"10.205.69";"10.205.31";"10.205.28";"10.205.27"},K25))),"Platform-Runtime and Azure OPS",
IF(OR(ISNUMBER(SEARCH({"10.229.16";"10.229.17";"10.229.18";"10.229.19";"10.229.20";"10.229.21";"10.229.25";"10.229.26"},K25))),"SDDC",
IF(OR(ISNUMBER(SEARCH({"10.220";"10.221";"10.222";"10.223";"10.224";"10.225";"10.227";"10.229"},K25))),"SDDC",
IF(OR(ISNUMBER(SEARCH({"10.226";"10.205"},K25))),"Azure OPS and SDDC",
IF(AND(NOT(ISNUMBER(SEARCH({"10.220";"10.221";"10.222";"10.223";"10.224";"10.225";"10.229";"10.226";"10.227";"10.205";"10.205.37";"10.205.38";"10.205.69";"10.205.31";"10.205.28";"10.205.27";"10.229.16";"10.229.17";"10.229.18";"10.229.19";"10.229.20";"10.229.21";"10.229.25";"10.229.26"},K25)))),"SCT SI - OCD",""))))))</f>
        <v/>
      </c>
      <c r="W25" s="126"/>
    </row>
    <row r="26" spans="1:23" x14ac:dyDescent="0.7">
      <c r="A26" s="18"/>
      <c r="B26" s="45">
        <v>13</v>
      </c>
      <c r="C26" s="170"/>
      <c r="D26" s="47"/>
      <c r="E26" s="48"/>
      <c r="F26" s="46"/>
      <c r="G26" s="36"/>
      <c r="H26" s="46"/>
      <c r="I26" s="46"/>
      <c r="J26" s="170"/>
      <c r="K26" s="49"/>
      <c r="L26" s="36"/>
      <c r="M26" s="36"/>
      <c r="N26" s="36"/>
      <c r="O26" s="36"/>
      <c r="P26" s="159"/>
      <c r="Q26" s="40"/>
      <c r="R26" s="41" t="s">
        <v>47</v>
      </c>
      <c r="S26" s="42"/>
      <c r="T26" s="50"/>
      <c r="U26" s="131" t="str" cm="1">
        <f t="array" ref="U26">IF(E26="","",IF(OR(ISNUMBER(SEARCH({"10.205.37";"10.205.38";"10.205.69";"10.205.31";"10.205.28";"10.205.27"},E26))),"Platform-Runtime and Azure OPS",
IF(OR(ISNUMBER(SEARCH({"10.229.16";"10.229.17";"10.229.18";"10.229.19";"10.229.20";"10.229.21";"10.229.25";"10.229.26"},E26))),"SDDC",
IF(OR(ISNUMBER(SEARCH({"10.220";"10.221";"10.222";"10.223";"10.224";"10.225";"10.227";"10.229";"185.130.242"},E26))),"SDDC",
IF(OR(ISNUMBER(SEARCH({"10.226";"10.205"},E26))),"Azure OPS and SDDC",
IF(AND(NOT(ISNUMBER(SEARCH({"10.220";"10.221";"10.222";"10.223";"10.224";"10.225";"10.229";"10.226";"10.227";"10.205";"10.205.37";"10.205.38";"10.205.69";"10.205.31";"10.205.28";"10.205.27";"10.229.16";"10.229.17";"10.229.18";"10.229.19";"10.229.20";"10.229.21";"10.229.25";"10.229.26"},E26)))),"SCT SI - OCD",""))))))</f>
        <v/>
      </c>
      <c r="V26" s="127" t="str" cm="1">
        <f t="array" ref="V26">IF(K26="","",IF(OR(ISNUMBER(SEARCH({"10.205.37";"10.205.38";"10.205.69";"10.205.31";"10.205.28";"10.205.27"},K26))),"Platform-Runtime and Azure OPS",
IF(OR(ISNUMBER(SEARCH({"10.229.16";"10.229.17";"10.229.18";"10.229.19";"10.229.20";"10.229.21";"10.229.25";"10.229.26"},K26))),"SDDC",
IF(OR(ISNUMBER(SEARCH({"10.220";"10.221";"10.222";"10.223";"10.224";"10.225";"10.227";"10.229"},K26))),"SDDC",
IF(OR(ISNUMBER(SEARCH({"10.226";"10.205"},K26))),"Azure OPS and SDDC",
IF(AND(NOT(ISNUMBER(SEARCH({"10.220";"10.221";"10.222";"10.223";"10.224";"10.225";"10.229";"10.226";"10.227";"10.205";"10.205.37";"10.205.38";"10.205.69";"10.205.31";"10.205.28";"10.205.27";"10.229.16";"10.229.17";"10.229.18";"10.229.19";"10.229.20";"10.229.21";"10.229.25";"10.229.26"},K26)))),"SCT SI - OCD",""))))))</f>
        <v/>
      </c>
      <c r="W26" s="18"/>
    </row>
    <row r="27" spans="1:23" x14ac:dyDescent="0.7">
      <c r="A27" s="18"/>
      <c r="B27" s="45">
        <v>14</v>
      </c>
      <c r="C27" s="170"/>
      <c r="D27" s="47"/>
      <c r="E27" s="48"/>
      <c r="F27" s="46"/>
      <c r="G27" s="36"/>
      <c r="H27" s="46"/>
      <c r="I27" s="46"/>
      <c r="J27" s="170"/>
      <c r="K27" s="49"/>
      <c r="L27" s="36"/>
      <c r="M27" s="36"/>
      <c r="N27" s="36"/>
      <c r="O27" s="36"/>
      <c r="P27" s="159"/>
      <c r="Q27" s="40"/>
      <c r="R27" s="41" t="s">
        <v>47</v>
      </c>
      <c r="S27" s="42"/>
      <c r="T27" s="50"/>
      <c r="U27" s="131" t="str" cm="1">
        <f t="array" ref="U27">IF(E27="","",IF(OR(ISNUMBER(SEARCH({"10.205.37";"10.205.38";"10.205.69";"10.205.31";"10.205.28";"10.205.27"},E27))),"Platform-Runtime and Azure OPS",
IF(OR(ISNUMBER(SEARCH({"10.229.16";"10.229.17";"10.229.18";"10.229.19";"10.229.20";"10.229.21";"10.229.25";"10.229.26"},E27))),"SDDC",
IF(OR(ISNUMBER(SEARCH({"10.220";"10.221";"10.222";"10.223";"10.224";"10.225";"10.227";"10.229";"185.130.242"},E27))),"SDDC",
IF(OR(ISNUMBER(SEARCH({"10.226";"10.205"},E27))),"Azure OPS and SDDC",
IF(AND(NOT(ISNUMBER(SEARCH({"10.220";"10.221";"10.222";"10.223";"10.224";"10.225";"10.229";"10.226";"10.227";"10.205";"10.205.37";"10.205.38";"10.205.69";"10.205.31";"10.205.28";"10.205.27";"10.229.16";"10.229.17";"10.229.18";"10.229.19";"10.229.20";"10.229.21";"10.229.25";"10.229.26"},E27)))),"SCT SI - OCD",""))))))</f>
        <v/>
      </c>
      <c r="V27" s="127" t="str" cm="1">
        <f t="array" ref="V27">IF(K27="","",IF(OR(ISNUMBER(SEARCH({"10.205.37";"10.205.38";"10.205.69";"10.205.31";"10.205.28";"10.205.27"},K27))),"Platform-Runtime and Azure OPS",
IF(OR(ISNUMBER(SEARCH({"10.229.16";"10.229.17";"10.229.18";"10.229.19";"10.229.20";"10.229.21";"10.229.25";"10.229.26"},K27))),"SDDC",
IF(OR(ISNUMBER(SEARCH({"10.220";"10.221";"10.222";"10.223";"10.224";"10.225";"10.227";"10.229"},K27))),"SDDC",
IF(OR(ISNUMBER(SEARCH({"10.226";"10.205"},K27))),"Azure OPS and SDDC",
IF(AND(NOT(ISNUMBER(SEARCH({"10.220";"10.221";"10.222";"10.223";"10.224";"10.225";"10.229";"10.226";"10.227";"10.205";"10.205.37";"10.205.38";"10.205.69";"10.205.31";"10.205.28";"10.205.27";"10.229.16";"10.229.17";"10.229.18";"10.229.19";"10.229.20";"10.229.21";"10.229.25";"10.229.26"},K27)))),"SCT SI - OCD",""))))))</f>
        <v/>
      </c>
      <c r="W27" s="126"/>
    </row>
    <row r="28" spans="1:23" ht="15.6" thickBot="1" x14ac:dyDescent="0.75">
      <c r="A28" s="18"/>
      <c r="B28" s="52">
        <v>15</v>
      </c>
      <c r="C28" s="160"/>
      <c r="D28" s="54"/>
      <c r="E28" s="55"/>
      <c r="F28" s="53"/>
      <c r="G28" s="56"/>
      <c r="H28" s="53"/>
      <c r="I28" s="53"/>
      <c r="J28" s="160"/>
      <c r="K28" s="55"/>
      <c r="L28" s="56"/>
      <c r="M28" s="56"/>
      <c r="N28" s="53"/>
      <c r="O28" s="53"/>
      <c r="P28" s="160"/>
      <c r="Q28" s="53"/>
      <c r="R28" s="57" t="s">
        <v>47</v>
      </c>
      <c r="S28" s="42"/>
      <c r="T28" s="50"/>
      <c r="U28" s="132" t="str" cm="1">
        <f t="array" ref="U28">IF(E28="","",IF(OR(ISNUMBER(SEARCH({"10.205.37";"10.205.38";"10.205.69";"10.205.31";"10.205.28";"10.205.27"},E28))),"Platform-Runtime and Azure OPS",
IF(OR(ISNUMBER(SEARCH({"10.229.16";"10.229.17";"10.229.18";"10.229.19";"10.229.20";"10.229.21";"10.229.25";"10.229.26"},E28))),"SDDC",
IF(OR(ISNUMBER(SEARCH({"10.220";"10.221";"10.222";"10.223";"10.224";"10.225";"10.227";"10.229";"185.130.242"},E28))),"SDDC",
IF(OR(ISNUMBER(SEARCH({"10.226";"10.205"},E28))),"Azure OPS and SDDC",
IF(AND(NOT(ISNUMBER(SEARCH({"10.220";"10.221";"10.222";"10.223";"10.224";"10.225";"10.229";"10.226";"10.227";"10.205";"10.205.37";"10.205.38";"10.205.69";"10.205.31";"10.205.28";"10.205.27";"10.229.16";"10.229.17";"10.229.18";"10.229.19";"10.229.20";"10.229.21";"10.229.25";"10.229.26"},E28)))),"SCT SI - OCD",""))))))</f>
        <v/>
      </c>
      <c r="V28" s="128" t="str" cm="1">
        <f t="array" ref="V28">IF(K28="","",IF(OR(ISNUMBER(SEARCH({"10.205.37";"10.205.38";"10.205.69";"10.205.31";"10.205.28";"10.205.27"},K28))),"Platform-Runtime and Azure OPS",
IF(OR(ISNUMBER(SEARCH({"10.229.16";"10.229.17";"10.229.18";"10.229.19";"10.229.20";"10.229.21";"10.229.25";"10.229.26"},K28))),"SDDC",
IF(OR(ISNUMBER(SEARCH({"10.220";"10.221";"10.222";"10.223";"10.224";"10.225";"10.227";"10.229"},K28))),"SDDC",
IF(OR(ISNUMBER(SEARCH({"10.226";"10.205"},K28))),"Azure OPS and SDDC",
IF(AND(NOT(ISNUMBER(SEARCH({"10.220";"10.221";"10.222";"10.223";"10.224";"10.225";"10.229";"10.226";"10.227";"10.205";"10.205.37";"10.205.38";"10.205.69";"10.205.31";"10.205.28";"10.205.27";"10.229.16";"10.229.17";"10.229.18";"10.229.19";"10.229.20";"10.229.21";"10.229.25";"10.229.26"},K28)))),"SCT SI - OCD",""))))))</f>
        <v/>
      </c>
      <c r="W28" s="18"/>
    </row>
    <row r="29" spans="1:23" x14ac:dyDescent="0.7">
      <c r="A29" s="18"/>
      <c r="B29" s="18"/>
      <c r="C29" s="18"/>
      <c r="D29" s="18"/>
      <c r="E29" s="18"/>
      <c r="F29" s="18"/>
      <c r="G29" s="18"/>
      <c r="H29" s="18"/>
      <c r="I29" s="18"/>
      <c r="J29" s="18"/>
      <c r="K29" s="18"/>
      <c r="L29" s="18"/>
      <c r="M29" s="18"/>
      <c r="N29" s="18"/>
      <c r="O29" s="18"/>
      <c r="P29" s="18"/>
      <c r="Q29" s="18"/>
      <c r="R29" s="18"/>
      <c r="S29" s="18"/>
      <c r="T29" s="18"/>
      <c r="U29" s="18"/>
      <c r="V29" s="18"/>
      <c r="W29" s="18"/>
    </row>
    <row r="30" spans="1:23" ht="15.6" thickBot="1" x14ac:dyDescent="0.75">
      <c r="A30" s="18"/>
      <c r="B30" s="58"/>
      <c r="C30" s="18"/>
      <c r="D30" s="58"/>
      <c r="E30" s="58"/>
      <c r="F30" s="58"/>
      <c r="G30" s="18"/>
      <c r="H30" s="18"/>
      <c r="I30" s="18"/>
      <c r="J30" s="18"/>
      <c r="K30" s="18"/>
      <c r="L30" s="18"/>
      <c r="M30" s="18"/>
      <c r="N30" s="18"/>
      <c r="O30" s="18"/>
      <c r="P30" s="18"/>
      <c r="Q30" s="18"/>
      <c r="R30" s="18"/>
      <c r="S30" s="18"/>
      <c r="T30" s="18"/>
      <c r="U30" s="18"/>
      <c r="V30" s="18"/>
      <c r="W30" s="18"/>
    </row>
    <row r="31" spans="1:23" ht="16.5" x14ac:dyDescent="0.7">
      <c r="A31" s="18"/>
      <c r="B31" s="153" t="s">
        <v>114</v>
      </c>
      <c r="C31" s="156"/>
      <c r="D31" s="154"/>
      <c r="E31" s="154"/>
      <c r="F31" s="154"/>
      <c r="G31" s="59"/>
      <c r="H31" s="59"/>
      <c r="I31" s="59"/>
      <c r="J31" s="59"/>
      <c r="K31" s="60"/>
      <c r="L31" s="60"/>
      <c r="M31" s="135"/>
      <c r="N31" s="18"/>
      <c r="O31" s="18"/>
      <c r="P31" s="18"/>
      <c r="Q31" s="18"/>
      <c r="R31" s="18"/>
      <c r="S31" s="18"/>
      <c r="T31" s="18"/>
      <c r="U31" s="18"/>
      <c r="V31" s="18"/>
      <c r="W31" s="18"/>
    </row>
    <row r="32" spans="1:23" ht="15" customHeight="1" x14ac:dyDescent="0.7">
      <c r="A32" s="18"/>
      <c r="B32" s="202" t="s">
        <v>301</v>
      </c>
      <c r="C32" s="203"/>
      <c r="D32" s="203"/>
      <c r="E32" s="203"/>
      <c r="F32" s="203"/>
      <c r="G32" s="61"/>
      <c r="H32" s="61"/>
      <c r="I32" s="61"/>
      <c r="J32" s="61"/>
      <c r="K32" s="61"/>
      <c r="L32" s="61"/>
      <c r="M32" s="62"/>
      <c r="N32" s="18"/>
      <c r="O32" s="18"/>
      <c r="P32" s="18"/>
      <c r="Q32" s="18"/>
      <c r="R32" s="18"/>
      <c r="S32" s="18"/>
      <c r="T32" s="18"/>
      <c r="U32" s="18"/>
      <c r="V32" s="18"/>
      <c r="W32" s="18"/>
    </row>
    <row r="33" spans="1:23" ht="16.5" x14ac:dyDescent="0.75">
      <c r="A33" s="18"/>
      <c r="B33" s="202"/>
      <c r="C33" s="203"/>
      <c r="D33" s="203"/>
      <c r="E33" s="203"/>
      <c r="F33" s="203"/>
      <c r="G33" s="61"/>
      <c r="H33" s="61"/>
      <c r="I33" s="61"/>
      <c r="J33" s="61"/>
      <c r="K33" s="61"/>
      <c r="L33" s="61"/>
      <c r="M33" s="62"/>
      <c r="N33" s="18"/>
      <c r="O33" s="18"/>
      <c r="P33" s="18"/>
      <c r="Q33" s="18"/>
      <c r="R33" s="18"/>
      <c r="S33" s="63"/>
      <c r="T33" s="18"/>
      <c r="U33" s="18"/>
      <c r="V33" s="18"/>
      <c r="W33" s="18"/>
    </row>
    <row r="34" spans="1:23" ht="16.5" customHeight="1" x14ac:dyDescent="0.75">
      <c r="A34" s="18"/>
      <c r="B34" s="202"/>
      <c r="C34" s="203"/>
      <c r="D34" s="203"/>
      <c r="E34" s="203"/>
      <c r="F34" s="203"/>
      <c r="G34" s="61"/>
      <c r="H34" s="61"/>
      <c r="I34" s="61"/>
      <c r="J34" s="61"/>
      <c r="K34" s="61"/>
      <c r="L34" s="61"/>
      <c r="M34" s="62"/>
      <c r="N34" s="18"/>
      <c r="O34" s="18"/>
      <c r="P34" s="18"/>
      <c r="Q34" s="18"/>
      <c r="R34" s="18"/>
      <c r="S34" s="63"/>
      <c r="T34" s="18"/>
      <c r="U34" s="18"/>
      <c r="V34" s="18"/>
      <c r="W34" s="18"/>
    </row>
    <row r="35" spans="1:23" ht="16.5" x14ac:dyDescent="0.75">
      <c r="A35" s="18"/>
      <c r="B35" s="157" t="s">
        <v>115</v>
      </c>
      <c r="C35" s="157"/>
      <c r="D35" s="157"/>
      <c r="E35" s="157"/>
      <c r="F35" s="157"/>
      <c r="G35" s="61"/>
      <c r="H35" s="61"/>
      <c r="I35" s="61"/>
      <c r="J35" s="61"/>
      <c r="K35" s="61"/>
      <c r="L35" s="61"/>
      <c r="M35" s="62"/>
      <c r="N35" s="18"/>
      <c r="O35" s="18"/>
      <c r="P35" s="18"/>
      <c r="Q35" s="18"/>
      <c r="R35" s="18"/>
      <c r="S35" s="63"/>
      <c r="T35" s="18"/>
      <c r="U35" s="18"/>
      <c r="V35" s="18"/>
      <c r="W35" s="18"/>
    </row>
    <row r="36" spans="1:23" ht="16.5" x14ac:dyDescent="0.75">
      <c r="A36" s="18"/>
      <c r="B36" s="200" t="s">
        <v>116</v>
      </c>
      <c r="C36" s="201"/>
      <c r="D36" s="201"/>
      <c r="E36" s="201"/>
      <c r="F36" s="201"/>
      <c r="G36" s="61"/>
      <c r="H36" s="61"/>
      <c r="I36" s="61"/>
      <c r="J36" s="61"/>
      <c r="K36" s="61"/>
      <c r="L36" s="61"/>
      <c r="M36" s="62"/>
      <c r="N36" s="18"/>
      <c r="O36" s="18"/>
      <c r="P36" s="18"/>
      <c r="Q36" s="18"/>
      <c r="R36" s="18"/>
      <c r="S36" s="63"/>
      <c r="T36" s="18"/>
      <c r="U36" s="18"/>
      <c r="V36" s="18"/>
      <c r="W36" s="18"/>
    </row>
    <row r="37" spans="1:23" ht="15.75" customHeight="1" x14ac:dyDescent="0.7">
      <c r="A37" s="18"/>
      <c r="B37" s="200"/>
      <c r="C37" s="201"/>
      <c r="D37" s="201"/>
      <c r="E37" s="201"/>
      <c r="F37" s="201"/>
      <c r="G37" s="61"/>
      <c r="H37" s="61"/>
      <c r="I37" s="61"/>
      <c r="J37" s="61"/>
      <c r="K37" s="61"/>
      <c r="L37" s="61"/>
      <c r="M37" s="62"/>
      <c r="N37" s="18"/>
      <c r="O37" s="18"/>
      <c r="P37" s="18"/>
      <c r="Q37" s="18"/>
      <c r="R37" s="18"/>
      <c r="S37" s="18"/>
      <c r="T37" s="18"/>
      <c r="U37" s="18"/>
      <c r="V37" s="18"/>
      <c r="W37" s="18"/>
    </row>
    <row r="38" spans="1:23" x14ac:dyDescent="0.7">
      <c r="A38" s="18"/>
      <c r="B38" s="64" t="s">
        <v>283</v>
      </c>
      <c r="C38" s="61"/>
      <c r="D38" s="61"/>
      <c r="E38" s="61"/>
      <c r="F38" s="61"/>
      <c r="G38" s="61"/>
      <c r="H38" s="61"/>
      <c r="I38" s="61"/>
      <c r="J38" s="61"/>
      <c r="K38" s="61"/>
      <c r="L38" s="61"/>
      <c r="M38" s="62"/>
      <c r="N38" s="18"/>
      <c r="O38" s="18"/>
      <c r="P38" s="18"/>
      <c r="Q38" s="18"/>
      <c r="R38" s="18"/>
      <c r="S38" s="18"/>
      <c r="T38" s="18"/>
      <c r="U38" s="18"/>
      <c r="V38" s="18"/>
      <c r="W38" s="18"/>
    </row>
    <row r="39" spans="1:23" ht="15.6" thickBot="1" x14ac:dyDescent="0.75">
      <c r="A39" s="18"/>
      <c r="B39" s="65" t="s">
        <v>284</v>
      </c>
      <c r="C39" s="66"/>
      <c r="D39" s="66"/>
      <c r="E39" s="66"/>
      <c r="F39" s="66"/>
      <c r="G39" s="66"/>
      <c r="H39" s="66"/>
      <c r="I39" s="66"/>
      <c r="J39" s="66"/>
      <c r="K39" s="66"/>
      <c r="L39" s="66"/>
      <c r="M39" s="67"/>
      <c r="N39" s="18"/>
      <c r="O39" s="18"/>
      <c r="P39" s="18"/>
      <c r="Q39" s="18"/>
      <c r="R39" s="18"/>
      <c r="S39" s="18"/>
      <c r="T39" s="18"/>
      <c r="U39" s="18"/>
      <c r="V39" s="18"/>
      <c r="W39" s="18"/>
    </row>
    <row r="40" spans="1:23" x14ac:dyDescent="0.7">
      <c r="A40" s="18"/>
      <c r="B40" s="18"/>
      <c r="C40" s="18"/>
      <c r="D40" s="18"/>
      <c r="E40" s="18"/>
      <c r="F40" s="18"/>
      <c r="G40" s="18"/>
      <c r="H40" s="18"/>
      <c r="I40" s="18"/>
      <c r="J40" s="18"/>
      <c r="K40" s="18"/>
      <c r="L40" s="18"/>
      <c r="M40" s="18"/>
      <c r="N40" s="18"/>
      <c r="O40" s="18"/>
      <c r="P40" s="18"/>
      <c r="Q40" s="18"/>
      <c r="R40" s="18"/>
      <c r="S40" s="18"/>
      <c r="T40" s="18"/>
      <c r="U40" s="18"/>
      <c r="V40" s="18"/>
      <c r="W40" s="18"/>
    </row>
    <row r="41" spans="1:23" x14ac:dyDescent="0.7">
      <c r="A41" s="18"/>
      <c r="B41" s="18"/>
      <c r="C41" s="18"/>
      <c r="D41" s="18"/>
      <c r="E41" s="18"/>
      <c r="F41" s="18"/>
      <c r="G41" s="18"/>
      <c r="H41" s="18"/>
      <c r="I41" s="18"/>
      <c r="J41" s="18"/>
      <c r="K41" s="18"/>
      <c r="L41" s="18"/>
      <c r="M41" s="18"/>
      <c r="N41" s="18"/>
      <c r="O41" s="18"/>
      <c r="P41" s="18"/>
      <c r="Q41" s="18"/>
      <c r="R41" s="18"/>
      <c r="S41" s="18"/>
      <c r="T41" s="18"/>
      <c r="U41" s="18"/>
      <c r="V41" s="18"/>
      <c r="W41" s="18"/>
    </row>
    <row r="42" spans="1:23" x14ac:dyDescent="0.7">
      <c r="A42" s="18"/>
      <c r="B42" s="18"/>
      <c r="C42" s="18"/>
      <c r="D42" s="18"/>
      <c r="E42" s="18"/>
      <c r="F42" s="18"/>
      <c r="G42" s="18"/>
      <c r="H42" s="18"/>
      <c r="I42" s="18"/>
      <c r="J42" s="18"/>
      <c r="K42" s="18"/>
      <c r="L42" s="18"/>
      <c r="M42" s="18"/>
      <c r="N42" s="18"/>
      <c r="O42" s="18"/>
      <c r="P42" s="18"/>
      <c r="Q42" s="18"/>
      <c r="R42" s="18"/>
      <c r="S42" s="18"/>
      <c r="T42" s="18"/>
      <c r="U42" s="18"/>
      <c r="V42" s="18"/>
      <c r="W42" s="18"/>
    </row>
    <row r="43" spans="1:23" x14ac:dyDescent="0.7">
      <c r="A43" s="18"/>
      <c r="B43" s="18"/>
      <c r="C43" s="18"/>
      <c r="D43" s="18"/>
      <c r="E43" s="18"/>
      <c r="F43" s="18"/>
      <c r="G43" s="18"/>
      <c r="H43" s="18"/>
      <c r="I43" s="18"/>
      <c r="J43" s="18"/>
      <c r="K43" s="18"/>
      <c r="L43" s="18"/>
      <c r="M43" s="18"/>
      <c r="N43" s="18"/>
      <c r="O43" s="18"/>
      <c r="P43" s="18"/>
      <c r="Q43" s="18"/>
      <c r="R43" s="18"/>
      <c r="S43" s="18"/>
      <c r="T43" s="18"/>
      <c r="U43" s="18"/>
      <c r="V43" s="18"/>
      <c r="W43" s="18"/>
    </row>
    <row r="44" spans="1:23" x14ac:dyDescent="0.7">
      <c r="A44" s="18"/>
      <c r="B44" s="18"/>
      <c r="C44" s="18"/>
      <c r="D44" s="18"/>
      <c r="E44" s="18"/>
      <c r="F44" s="18"/>
      <c r="G44" s="18"/>
      <c r="H44" s="18"/>
      <c r="I44" s="18"/>
      <c r="J44" s="18"/>
      <c r="K44" s="18"/>
      <c r="L44" s="18"/>
      <c r="M44" s="18"/>
      <c r="N44" s="18"/>
      <c r="O44" s="18"/>
      <c r="P44" s="18"/>
      <c r="Q44" s="18"/>
      <c r="R44" s="18"/>
      <c r="S44" s="18"/>
      <c r="T44" s="18"/>
      <c r="U44" s="18"/>
      <c r="V44" s="18"/>
      <c r="W44" s="18"/>
    </row>
    <row r="45" spans="1:23" x14ac:dyDescent="0.7">
      <c r="A45" s="18"/>
      <c r="B45" s="18"/>
      <c r="C45" s="18"/>
      <c r="D45" s="18"/>
      <c r="E45" s="18"/>
      <c r="F45" s="18"/>
      <c r="G45" s="18"/>
      <c r="H45" s="18"/>
      <c r="I45" s="18"/>
      <c r="J45" s="18"/>
      <c r="K45" s="18"/>
      <c r="L45" s="18"/>
      <c r="M45" s="18"/>
      <c r="N45" s="18"/>
      <c r="O45" s="18"/>
      <c r="P45" s="18"/>
      <c r="Q45" s="18"/>
      <c r="R45" s="18"/>
      <c r="S45" s="18"/>
      <c r="T45" s="18"/>
      <c r="U45" s="18"/>
      <c r="V45" s="18"/>
      <c r="W45" s="18"/>
    </row>
    <row r="46" spans="1:23" x14ac:dyDescent="0.7">
      <c r="A46" s="18"/>
      <c r="B46" s="18"/>
      <c r="C46" s="18"/>
      <c r="D46" s="18"/>
      <c r="E46" s="18"/>
      <c r="F46" s="18"/>
      <c r="G46" s="18"/>
      <c r="H46" s="18"/>
      <c r="I46" s="18"/>
      <c r="J46" s="18"/>
      <c r="K46" s="18"/>
      <c r="L46" s="18"/>
      <c r="M46" s="18"/>
      <c r="N46" s="18"/>
      <c r="O46" s="18"/>
      <c r="P46" s="18"/>
      <c r="Q46" s="18"/>
      <c r="R46" s="18"/>
      <c r="S46" s="18"/>
      <c r="T46" s="18"/>
      <c r="U46" s="18"/>
      <c r="V46" s="18"/>
      <c r="W46" s="18"/>
    </row>
    <row r="47" spans="1:23" x14ac:dyDescent="0.7">
      <c r="A47" s="18"/>
      <c r="B47" s="18"/>
      <c r="C47" s="18"/>
      <c r="D47" s="18"/>
      <c r="E47" s="18"/>
      <c r="F47" s="18"/>
      <c r="G47" s="18"/>
      <c r="H47" s="18"/>
      <c r="I47" s="18"/>
      <c r="J47" s="18"/>
      <c r="K47" s="18"/>
      <c r="L47" s="18"/>
      <c r="M47" s="18"/>
      <c r="N47" s="18"/>
      <c r="O47" s="18"/>
      <c r="P47" s="18"/>
      <c r="Q47" s="18"/>
      <c r="R47" s="18"/>
      <c r="S47" s="18"/>
      <c r="T47" s="18"/>
      <c r="U47" s="18"/>
      <c r="V47" s="18"/>
      <c r="W47" s="18"/>
    </row>
    <row r="48" spans="1:23" x14ac:dyDescent="0.7">
      <c r="A48" s="18"/>
      <c r="B48" s="18"/>
      <c r="C48" s="18"/>
      <c r="D48" s="18"/>
      <c r="E48" s="18"/>
      <c r="F48" s="18"/>
      <c r="G48" s="18"/>
      <c r="H48" s="18"/>
      <c r="I48" s="18"/>
      <c r="J48" s="18"/>
      <c r="K48" s="18"/>
      <c r="L48" s="18"/>
      <c r="M48" s="18"/>
      <c r="N48" s="18"/>
      <c r="O48" s="18"/>
      <c r="P48" s="18"/>
      <c r="Q48" s="18"/>
      <c r="R48" s="18"/>
      <c r="S48" s="18"/>
      <c r="T48" s="18"/>
      <c r="U48" s="18"/>
      <c r="V48" s="18"/>
      <c r="W48" s="18"/>
    </row>
    <row r="49" spans="1:23" x14ac:dyDescent="0.7">
      <c r="A49" s="18"/>
      <c r="B49" s="18"/>
      <c r="C49" s="18"/>
      <c r="D49" s="18"/>
      <c r="E49" s="18"/>
      <c r="F49" s="18"/>
      <c r="G49" s="18"/>
      <c r="H49" s="18"/>
      <c r="I49" s="18"/>
      <c r="J49" s="18"/>
      <c r="K49" s="18"/>
      <c r="L49" s="18"/>
      <c r="M49" s="18"/>
      <c r="N49" s="18"/>
      <c r="O49" s="18"/>
      <c r="P49" s="18"/>
      <c r="Q49" s="18"/>
      <c r="R49" s="18"/>
      <c r="S49" s="18"/>
      <c r="T49" s="18"/>
      <c r="U49" s="18"/>
      <c r="V49" s="18"/>
      <c r="W49" s="18"/>
    </row>
    <row r="50" spans="1:23" x14ac:dyDescent="0.7">
      <c r="A50" s="18"/>
      <c r="B50" s="18"/>
      <c r="C50" s="18"/>
      <c r="D50" s="18"/>
      <c r="E50" s="18"/>
      <c r="F50" s="18"/>
      <c r="G50" s="18"/>
      <c r="H50" s="18"/>
      <c r="I50" s="18"/>
      <c r="J50" s="18"/>
      <c r="K50" s="18"/>
      <c r="L50" s="18"/>
      <c r="M50" s="18"/>
      <c r="N50" s="18"/>
      <c r="O50" s="18"/>
      <c r="P50" s="18"/>
      <c r="Q50" s="18"/>
      <c r="R50" s="18"/>
      <c r="S50" s="18"/>
      <c r="T50" s="18"/>
      <c r="U50" s="18"/>
      <c r="V50" s="18"/>
      <c r="W50" s="18"/>
    </row>
    <row r="51" spans="1:23" x14ac:dyDescent="0.7">
      <c r="A51" s="18"/>
      <c r="B51" s="18"/>
      <c r="C51" s="18"/>
      <c r="D51" s="18"/>
      <c r="E51" s="18"/>
      <c r="F51" s="18"/>
      <c r="G51" s="18"/>
      <c r="H51" s="18"/>
      <c r="I51" s="18"/>
      <c r="J51" s="18"/>
      <c r="K51" s="18"/>
      <c r="L51" s="18"/>
      <c r="M51" s="18"/>
      <c r="N51" s="18"/>
      <c r="O51" s="18"/>
      <c r="P51" s="18"/>
      <c r="Q51" s="18"/>
      <c r="R51" s="18"/>
      <c r="S51" s="18"/>
      <c r="T51" s="18"/>
      <c r="U51" s="18"/>
      <c r="V51" s="18"/>
      <c r="W51" s="18"/>
    </row>
    <row r="52" spans="1:23" x14ac:dyDescent="0.7">
      <c r="A52" s="18"/>
      <c r="B52" s="18"/>
      <c r="C52" s="18"/>
      <c r="D52" s="18"/>
      <c r="E52" s="18"/>
      <c r="F52" s="18"/>
      <c r="G52" s="18"/>
      <c r="H52" s="18"/>
      <c r="I52" s="18"/>
      <c r="J52" s="18"/>
      <c r="K52" s="18"/>
      <c r="L52" s="18"/>
      <c r="M52" s="18"/>
      <c r="N52" s="18"/>
      <c r="O52" s="18"/>
      <c r="P52" s="18"/>
      <c r="Q52" s="18"/>
      <c r="R52" s="18"/>
      <c r="S52" s="18"/>
      <c r="T52" s="18"/>
      <c r="U52" s="18"/>
      <c r="V52" s="18"/>
      <c r="W52" s="18"/>
    </row>
    <row r="53" spans="1:23" x14ac:dyDescent="0.7">
      <c r="N53" s="11"/>
      <c r="O53" s="11"/>
      <c r="P53" s="11"/>
      <c r="Q53" s="11"/>
      <c r="R53" s="11"/>
      <c r="S53" s="11"/>
      <c r="T53" s="11"/>
      <c r="U53" s="11"/>
      <c r="V53" s="11"/>
    </row>
    <row r="54" spans="1:23" x14ac:dyDescent="0.7">
      <c r="N54" s="11"/>
      <c r="O54" s="11"/>
      <c r="P54" s="11"/>
      <c r="Q54" s="11"/>
      <c r="R54" s="11"/>
      <c r="S54" s="11"/>
      <c r="T54" s="11"/>
      <c r="U54" s="11"/>
      <c r="V54" s="11"/>
    </row>
    <row r="55" spans="1:23" x14ac:dyDescent="0.7">
      <c r="N55" s="11"/>
      <c r="O55" s="11"/>
      <c r="P55" s="11"/>
      <c r="Q55" s="11"/>
      <c r="R55" s="11"/>
      <c r="S55" s="11"/>
      <c r="T55" s="11"/>
      <c r="U55" s="11"/>
      <c r="V55" s="11"/>
    </row>
    <row r="56" spans="1:23" x14ac:dyDescent="0.7">
      <c r="N56" s="11"/>
      <c r="O56" s="11"/>
      <c r="P56" s="11"/>
      <c r="Q56" s="11"/>
      <c r="R56" s="11"/>
      <c r="S56" s="11"/>
      <c r="T56" s="11"/>
      <c r="U56" s="11"/>
      <c r="V56" s="11"/>
    </row>
    <row r="57" spans="1:23" x14ac:dyDescent="0.7">
      <c r="N57" s="11"/>
      <c r="O57" s="11"/>
      <c r="P57" s="11"/>
      <c r="Q57" s="11"/>
      <c r="R57" s="11"/>
      <c r="S57" s="11"/>
      <c r="T57" s="11"/>
      <c r="U57" s="11"/>
      <c r="V57" s="11"/>
    </row>
    <row r="58" spans="1:23" x14ac:dyDescent="0.7">
      <c r="N58" s="11"/>
      <c r="O58" s="11"/>
      <c r="P58" s="11"/>
      <c r="Q58" s="11"/>
      <c r="R58" s="11"/>
      <c r="S58" s="11"/>
      <c r="T58" s="11"/>
      <c r="U58" s="11"/>
      <c r="V58" s="11"/>
    </row>
    <row r="59" spans="1:23" x14ac:dyDescent="0.7">
      <c r="N59" s="11"/>
      <c r="O59" s="11"/>
      <c r="P59" s="11"/>
      <c r="Q59" s="11"/>
      <c r="R59" s="11"/>
      <c r="S59" s="11"/>
      <c r="T59" s="11"/>
      <c r="U59" s="11"/>
      <c r="V59" s="11"/>
    </row>
    <row r="60" spans="1:23" x14ac:dyDescent="0.7">
      <c r="N60" s="11"/>
      <c r="O60" s="11"/>
      <c r="P60" s="11"/>
      <c r="Q60" s="11"/>
      <c r="R60" s="11"/>
      <c r="S60" s="11"/>
      <c r="T60" s="11"/>
      <c r="U60" s="11"/>
      <c r="V60" s="11"/>
    </row>
    <row r="61" spans="1:23" x14ac:dyDescent="0.7">
      <c r="N61" s="11"/>
      <c r="O61" s="11"/>
      <c r="P61" s="11"/>
      <c r="Q61" s="11"/>
      <c r="R61" s="11"/>
      <c r="S61" s="11"/>
      <c r="T61" s="11"/>
      <c r="U61" s="11"/>
      <c r="V61" s="11"/>
    </row>
    <row r="62" spans="1:23" x14ac:dyDescent="0.7">
      <c r="N62" s="11"/>
      <c r="O62" s="11"/>
      <c r="P62" s="11"/>
      <c r="Q62" s="11"/>
      <c r="R62" s="11"/>
      <c r="S62" s="11"/>
      <c r="T62" s="11"/>
      <c r="U62" s="11"/>
      <c r="V62" s="11"/>
    </row>
    <row r="63" spans="1:23" x14ac:dyDescent="0.7">
      <c r="N63" s="11"/>
      <c r="O63" s="11"/>
      <c r="P63" s="11"/>
      <c r="Q63" s="11"/>
      <c r="R63" s="11"/>
      <c r="S63" s="11"/>
      <c r="T63" s="11"/>
      <c r="U63" s="11"/>
      <c r="V63" s="11"/>
    </row>
    <row r="64" spans="1:23" x14ac:dyDescent="0.7">
      <c r="N64" s="11"/>
      <c r="O64" s="11"/>
      <c r="P64" s="11"/>
      <c r="Q64" s="11"/>
      <c r="R64" s="11"/>
      <c r="S64" s="11"/>
      <c r="T64" s="11"/>
      <c r="U64" s="11"/>
      <c r="V64" s="11"/>
    </row>
    <row r="65" s="11" customFormat="1" x14ac:dyDescent="0.7"/>
    <row r="66" s="11" customFormat="1" x14ac:dyDescent="0.7"/>
    <row r="67" s="11" customFormat="1" x14ac:dyDescent="0.7"/>
    <row r="68" s="11" customFormat="1" x14ac:dyDescent="0.7"/>
    <row r="69" s="11" customFormat="1" x14ac:dyDescent="0.7"/>
    <row r="70" s="11" customFormat="1" x14ac:dyDescent="0.7"/>
    <row r="71" s="11" customFormat="1" x14ac:dyDescent="0.7"/>
    <row r="72" s="11" customFormat="1" x14ac:dyDescent="0.7"/>
    <row r="73" s="11" customFormat="1" x14ac:dyDescent="0.7"/>
    <row r="74" s="11" customFormat="1" x14ac:dyDescent="0.7"/>
    <row r="75" s="11" customFormat="1" x14ac:dyDescent="0.7"/>
    <row r="76" s="11" customFormat="1" x14ac:dyDescent="0.7"/>
    <row r="77" s="11" customFormat="1" x14ac:dyDescent="0.7"/>
    <row r="78" s="11" customFormat="1" x14ac:dyDescent="0.7"/>
    <row r="79" s="11" customFormat="1" x14ac:dyDescent="0.7"/>
    <row r="80" s="11" customFormat="1" x14ac:dyDescent="0.7"/>
    <row r="81" s="11" customFormat="1" x14ac:dyDescent="0.7"/>
    <row r="82" s="11" customFormat="1" x14ac:dyDescent="0.7"/>
    <row r="83" s="11" customFormat="1" x14ac:dyDescent="0.7"/>
    <row r="84" s="11" customFormat="1" x14ac:dyDescent="0.7"/>
    <row r="85" s="11" customFormat="1" x14ac:dyDescent="0.7"/>
    <row r="86" s="11" customFormat="1" x14ac:dyDescent="0.7"/>
    <row r="87" s="11" customFormat="1" x14ac:dyDescent="0.7"/>
    <row r="88" s="11" customFormat="1" x14ac:dyDescent="0.7"/>
    <row r="89" s="11" customFormat="1" x14ac:dyDescent="0.7"/>
    <row r="90" s="11" customFormat="1" x14ac:dyDescent="0.7"/>
    <row r="91" s="11" customFormat="1" x14ac:dyDescent="0.7"/>
    <row r="92" s="11" customFormat="1" x14ac:dyDescent="0.7"/>
    <row r="93" s="11" customFormat="1" x14ac:dyDescent="0.7"/>
    <row r="94" s="11" customFormat="1" x14ac:dyDescent="0.7"/>
    <row r="95" s="11" customFormat="1" x14ac:dyDescent="0.7"/>
    <row r="96" s="11" customFormat="1" x14ac:dyDescent="0.7"/>
    <row r="97" spans="14:22" x14ac:dyDescent="0.7">
      <c r="N97" s="11"/>
      <c r="O97" s="11"/>
      <c r="P97" s="11"/>
      <c r="Q97" s="11"/>
      <c r="R97" s="11"/>
      <c r="S97" s="11"/>
      <c r="T97" s="11"/>
      <c r="U97" s="11"/>
      <c r="V97" s="11"/>
    </row>
    <row r="98" spans="14:22" x14ac:dyDescent="0.7">
      <c r="N98" s="11"/>
      <c r="O98" s="11"/>
      <c r="P98" s="11"/>
      <c r="Q98" s="11"/>
      <c r="R98" s="11"/>
      <c r="S98" s="11"/>
      <c r="T98" s="11"/>
      <c r="U98" s="11"/>
      <c r="V98" s="11"/>
    </row>
    <row r="99" spans="14:22" x14ac:dyDescent="0.7">
      <c r="N99" s="11"/>
      <c r="O99" s="11"/>
      <c r="P99" s="11"/>
      <c r="Q99" s="11"/>
      <c r="R99" s="11"/>
      <c r="S99" s="11"/>
      <c r="T99" s="11"/>
      <c r="U99" s="11"/>
      <c r="V99" s="11"/>
    </row>
    <row r="100" spans="14:22" x14ac:dyDescent="0.7">
      <c r="N100" s="11"/>
      <c r="O100" s="11"/>
      <c r="P100" s="11"/>
      <c r="Q100" s="11"/>
      <c r="R100" s="11"/>
      <c r="S100" s="11"/>
      <c r="T100" s="11"/>
      <c r="U100" s="11"/>
      <c r="V100" s="11"/>
    </row>
    <row r="101" spans="14:22" x14ac:dyDescent="0.7">
      <c r="N101" s="11"/>
      <c r="O101" s="11"/>
      <c r="P101" s="11"/>
      <c r="Q101" s="11"/>
      <c r="R101" s="11"/>
      <c r="S101" s="11"/>
      <c r="T101" s="11"/>
      <c r="U101" s="11"/>
      <c r="V101" s="11"/>
    </row>
    <row r="102" spans="14:22" x14ac:dyDescent="0.7"/>
    <row r="103" spans="14:22" x14ac:dyDescent="0.7"/>
    <row r="104" spans="14:22" x14ac:dyDescent="0.7"/>
    <row r="105" spans="14:22" x14ac:dyDescent="0.7"/>
    <row r="106" spans="14:22" x14ac:dyDescent="0.7"/>
    <row r="107" spans="14:22" x14ac:dyDescent="0.7"/>
    <row r="108" spans="14:22" x14ac:dyDescent="0.7"/>
    <row r="109" spans="14:22" x14ac:dyDescent="0.7"/>
    <row r="110" spans="14:22" x14ac:dyDescent="0.7"/>
  </sheetData>
  <sheetProtection algorithmName="SHA-512" hashValue="pMHPk6hbqfndb8Jae4zm8+kmph8WDyIOllfDJuDK1aSZKqxnmwLS6x1RaOFtAZJROcsy9irh/HJq6+EBsM+icg==" saltValue="FFpgiWDaiPhFAF2gZeIA6A==" spinCount="100000" sheet="1" objects="1" scenarios="1"/>
  <mergeCells count="6">
    <mergeCell ref="B36:F37"/>
    <mergeCell ref="B32:F34"/>
    <mergeCell ref="U11:V11"/>
    <mergeCell ref="K11:M11"/>
    <mergeCell ref="I2:I7"/>
    <mergeCell ref="E11:I11"/>
  </mergeCells>
  <phoneticPr fontId="11" type="noConversion"/>
  <conditionalFormatting sqref="A12:D13 A42:C42 A43:B43 C43:C44">
    <cfRule type="expression" dxfId="48" priority="7" stopIfTrue="1">
      <formula>AND(ISNUMBER(VALUE(LEFT(A12, FIND(".", A12)-1))),  ISNUMBER(VALUE(MID(A12, FIND(".", A12)+1, FIND(".", A12, FIND(".", A12)+1)-FIND(".", A12)-1))),  ISNUMBER(VALUE(MID(A12, FIND(".", A12, FIND(".", A12)+1)+1, FIND(".", A12, FIND(".", A12, FIND(".", A12)+1)+1)-FIND(".", A12, FIND(".", A12)+1)-1))),  ISNUMBER(VALUE(RIGHT(A12, LEN(A12)-FIND(".", A12, FIND(".", A12, FIND(".", A12)+1)+1)))),  VALUE(LEFT(A12, FIND(".", A12)-1))&lt;=255,  VALUE(MID(A12, FIND(".", A12)+1, FIND(".", A12, FIND(".", A12)+1)-FIND(".", A12)-1))&lt;=255,  VALUE(MID(A12, FIND(".", A12, FIND(".", A12)+1)+1, FIND(".", A12, FIND(".", A12, FIND(".", A12)+1)+1)-FIND(".", A12, FIND(".", A12)+1)-1))&lt;=255,  VALUE(RIGHT(A12, LEN(A12)-FIND(".", A12, FIND(".", A12, FIND(".", A12)+1)+1)))&lt;=255)</formula>
    </cfRule>
  </conditionalFormatting>
  <conditionalFormatting sqref="B36">
    <cfRule type="expression" dxfId="47" priority="3" stopIfTrue="1">
      <formula>AND(ISNUMBER(VALUE(LEFT(B36, FIND(".", B36)-1))),  ISNUMBER(VALUE(MID(B36, FIND(".", B36)+1, FIND(".", B36, FIND(".", B36)+1)-FIND(".", B36)-1))),  ISNUMBER(VALUE(MID(B36, FIND(".", B36, FIND(".", B36)+1)+1, FIND(".", B36, FIND(".", B36, FIND(".", B36)+1)+1)-FIND(".", B36, FIND(".", B36)+1)-1))),  ISNUMBER(VALUE(RIGHT(B36, LEN(B36)-FIND(".", B36, FIND(".", B36, FIND(".", B36)+1)+1)))),  VALUE(LEFT(B36, FIND(".", B36)-1))&lt;=255,  VALUE(MID(B36, FIND(".", B36)+1, FIND(".", B36, FIND(".", B36)+1)-FIND(".", B36)-1))&lt;=255,  VALUE(MID(B36, FIND(".", B36, FIND(".", B36)+1)+1, FIND(".", B36, FIND(".", B36, FIND(".", B36)+1)+1)-FIND(".", B36, FIND(".", B36)+1)-1))&lt;=255,  VALUE(RIGHT(B36, LEN(B36)-FIND(".", B36, FIND(".", B36, FIND(".", B36)+1)+1)))&lt;=255)</formula>
    </cfRule>
  </conditionalFormatting>
  <conditionalFormatting sqref="B35:F35">
    <cfRule type="expression" dxfId="46" priority="4" stopIfTrue="1">
      <formula>AND(ISNUMBER(VALUE(LEFT(B35, FIND(".", B35)-1))),  ISNUMBER(VALUE(MID(B35, FIND(".", B35)+1, FIND(".", B35, FIND(".", B35)+1)-FIND(".", B35)-1))),  ISNUMBER(VALUE(MID(B35, FIND(".", B35, FIND(".", B35)+1)+1, FIND(".", B35, FIND(".", B35, FIND(".", B35)+1)+1)-FIND(".", B35, FIND(".", B35)+1)-1))),  ISNUMBER(VALUE(RIGHT(B35, LEN(B35)-FIND(".", B35, FIND(".", B35, FIND(".", B35)+1)+1)))),  VALUE(LEFT(B35, FIND(".", B35)-1))&lt;=255,  VALUE(MID(B35, FIND(".", B35)+1, FIND(".", B35, FIND(".", B35)+1)-FIND(".", B35)-1))&lt;=255,  VALUE(MID(B35, FIND(".", B35, FIND(".", B35)+1)+1, FIND(".", B35, FIND(".", B35, FIND(".", B35)+1)+1)-FIND(".", B35, FIND(".", B35)+1)-1))&lt;=255,  VALUE(RIGHT(B35, LEN(B35)-FIND(".", B35, FIND(".", B35, FIND(".", B35)+1)+1)))&lt;=255)</formula>
    </cfRule>
  </conditionalFormatting>
  <conditionalFormatting sqref="C13">
    <cfRule type="expression" dxfId="45" priority="2" stopIfTrue="1">
      <formula>AND(ISNUMBER(VALUE(LEFT(C13, FIND(".", C13)-1))),  ISNUMBER(VALUE(MID(C13, FIND(".", C13)+1, FIND(".", C13, FIND(".", C13)+1)-FIND(".", C13)-1))),  ISNUMBER(VALUE(MID(C13, FIND(".", C13, FIND(".", C13)+1)+1, FIND(".", C13, FIND(".", C13, FIND(".", C13)+1)+1)-FIND(".", C13, FIND(".", C13)+1)-1))),  ISNUMBER(VALUE(RIGHT(C13, LEN(C13)-FIND(".", C13, FIND(".", C13, FIND(".", C13)+1)+1)))),  VALUE(LEFT(C13, FIND(".", C13)-1))&lt;=255,  VALUE(MID(C13, FIND(".", C13)+1, FIND(".", C13, FIND(".", C13)+1)-FIND(".", C13)-1))&lt;=255,  VALUE(MID(C13, FIND(".", C13, FIND(".", C13)+1)+1, FIND(".", C13, FIND(".", C13, FIND(".", C13)+1)+1)-FIND(".", C13, FIND(".", C13)+1)-1))&lt;=255,  VALUE(RIGHT(C13, LEN(C13)-FIND(".", C13, FIND(".", C13, FIND(".", C13)+1)+1)))&lt;=255)</formula>
    </cfRule>
  </conditionalFormatting>
  <conditionalFormatting sqref="D42:XFD43">
    <cfRule type="expression" dxfId="44" priority="1" stopIfTrue="1">
      <formula>AND(ISNUMBER(VALUE(LEFT(D42, FIND(".", D42)-1))),  ISNUMBER(VALUE(MID(D42, FIND(".", D42)+1, FIND(".", D42, FIND(".", D42)+1)-FIND(".", D42)-1))),  ISNUMBER(VALUE(MID(D42, FIND(".", D42, FIND(".", D42)+1)+1, FIND(".", D42, FIND(".", D42, FIND(".", D42)+1)+1)-FIND(".", D42, FIND(".", D42)+1)-1))),  ISNUMBER(VALUE(RIGHT(D42, LEN(D42)-FIND(".", D42, FIND(".", D42, FIND(".", D42)+1)+1)))),  VALUE(LEFT(D42, FIND(".", D42)-1))&lt;=255,  VALUE(MID(D42, FIND(".", D42)+1, FIND(".", D42, FIND(".", D42)+1)-FIND(".", D42)-1))&lt;=255,  VALUE(MID(D42, FIND(".", D42, FIND(".", D42)+1)+1, FIND(".", D42, FIND(".", D42, FIND(".", D42)+1)+1)-FIND(".", D42, FIND(".", D42)+1)-1))&lt;=255,  VALUE(RIGHT(D42, LEN(D42)-FIND(".", D42, FIND(".", D42, FIND(".", D42)+1)+1)))&lt;=255)</formula>
    </cfRule>
  </conditionalFormatting>
  <conditionalFormatting sqref="E13:E28 K13:K28">
    <cfRule type="expression" dxfId="43" priority="66">
      <formula>LEN(E13)&gt;0</formula>
    </cfRule>
  </conditionalFormatting>
  <conditionalFormatting sqref="E12:XFD13 A14:XFD30 A1:XFD1 B2:XFD7 A8:XFD10 B11:E11 K11 N11:U11 W11:XFD11 A31 G31:XFD31 B32 N32:XFD39 A40:XFD41 A44:XFD1048576">
    <cfRule type="expression" dxfId="42" priority="57" stopIfTrue="1">
      <formula>AND(ISNUMBER(VALUE(LEFT(A1, FIND(".", A1)-1))),  ISNUMBER(VALUE(MID(A1, FIND(".", A1)+1, FIND(".", A1, FIND(".", A1)+1)-FIND(".", A1)-1))),  ISNUMBER(VALUE(MID(A1, FIND(".", A1, FIND(".", A1)+1)+1, FIND(".", A1, FIND(".", A1, FIND(".", A1)+1)+1)-FIND(".", A1, FIND(".", A1)+1)-1))),  ISNUMBER(VALUE(RIGHT(A1, LEN(A1)-FIND(".", A1, FIND(".", A1, FIND(".", A1)+1)+1)))),  VALUE(LEFT(A1, FIND(".", A1)-1))&lt;=255,  VALUE(MID(A1, FIND(".", A1)+1, FIND(".", A1, FIND(".", A1)+1)-FIND(".", A1)-1))&lt;=255,  VALUE(MID(A1, FIND(".", A1, FIND(".", A1)+1)+1, FIND(".", A1, FIND(".", A1, FIND(".", A1)+1)+1)-FIND(".", A1, FIND(".", A1)+1)-1))&lt;=255,  VALUE(RIGHT(A1, LEN(A1)-FIND(".", A1, FIND(".", A1, FIND(".", A1)+1)+1)))&lt;=255)</formula>
    </cfRule>
  </conditionalFormatting>
  <conditionalFormatting sqref="U13:V28">
    <cfRule type="cellIs" dxfId="41" priority="6" operator="equal">
      <formula>"Platform-Runtime and Azure OPS"</formula>
    </cfRule>
    <cfRule type="cellIs" dxfId="40" priority="22" operator="equal">
      <formula>"SDDC"</formula>
    </cfRule>
    <cfRule type="cellIs" dxfId="39" priority="23" operator="equal">
      <formula>"Azure OPS"</formula>
    </cfRule>
    <cfRule type="cellIs" dxfId="38" priority="24" operator="equal">
      <formula>"SCT SI - OCD"</formula>
    </cfRule>
    <cfRule type="cellIs" dxfId="37" priority="26" operator="equal">
      <formula>"Azure OPS and SDDC"</formula>
    </cfRule>
  </conditionalFormatting>
  <dataValidations xWindow="673" yWindow="359" count="24">
    <dataValidation allowBlank="1" showInputMessage="1" showErrorMessage="1" prompt="What is the network service that is allowed with this fw rule?" sqref="N12" xr:uid="{4D7014BA-C655-4C78-B542-5AF7AB00680B}"/>
    <dataValidation allowBlank="1" showInputMessage="1" showErrorMessage="1" prompt="This rule applies to this (source) application." sqref="D12" xr:uid="{D4299F84-885A-4375-8F43-B52EFF2420A3}"/>
    <dataValidation allowBlank="1" showInputMessage="1" showErrorMessage="1" prompt="Meaningful description for this firewall rule." sqref="C12" xr:uid="{93E35178-A735-49F6-A454-96FC89D78A1B}"/>
    <dataValidation allowBlank="1" showInputMessage="1" showErrorMessage="1" prompt="The FQDN or EPG of the device/domain that initiates the connection." sqref="F12" xr:uid="{7DF31236-82D1-44EA-9EA8-53FFD348AD96}"/>
    <dataValidation allowBlank="1" showInputMessage="1" showErrorMessage="1" prompt="Global Protect VPN only: which MS AD group needs access." sqref="I12" xr:uid="{EA3C8F59-484F-4040-BEB8-BF42E175AD77}"/>
    <dataValidation allowBlank="1" showInputMessage="1" showErrorMessage="1" prompt="The FQDN or EPG of the device/domain that the connection is pointed to." sqref="L12" xr:uid="{5D309EFD-8363-4156-82AC-902F9663E75F}"/>
    <dataValidation allowBlank="1" showInputMessage="1" showErrorMessage="1" prompt="What are the service port(s) of the application? Max 5 ports per rule." sqref="P12" xr:uid="{36F83880-B77F-4933-B484-9C6008FF6AFD}"/>
    <dataValidation allowBlank="1" showInputMessage="1" showErrorMessage="1" prompt="Wie is de leverancier dan wel fabrikant van deze applicatie." sqref="S12" xr:uid="{869FF4A6-ECF5-45AE-BB41-39027492D4A4}"/>
    <dataValidation allowBlank="1" showInputMessage="1" showErrorMessage="1" prompt="Beknopte omschrijving van deze regel." sqref="T12" xr:uid="{05D78743-AFE7-4DF3-BBAE-07ACA931BC77}"/>
    <dataValidation allowBlank="1" showInputMessage="1" showErrorMessage="1" prompt="Transport protocol: TCP or UDP" sqref="O12" xr:uid="{02B01003-D02E-4898-8BE8-838A7246DACD}"/>
    <dataValidation allowBlank="1" showInputMessage="1" showErrorMessage="1" prompt="The Source IP-address(es) that initiates the connection." sqref="E12" xr:uid="{5B21A768-D762-43E0-A87A-0DA013F7AF0F}"/>
    <dataValidation allowBlank="1" showInputMessage="1" showErrorMessage="1" prompt="The destination IP-address(es) of this connection." sqref="K12" xr:uid="{644E4CC5-0C35-4F4F-820F-64A513867B89}"/>
    <dataValidation allowBlank="1" showInputMessage="1" showErrorMessage="1" prompt="Source Network Zone (Optional)" sqref="G12" xr:uid="{39982ABB-0757-49B9-A0ED-C52B486CA2A5}"/>
    <dataValidation allowBlank="1" showInputMessage="1" showErrorMessage="1" prompt="Destination Network Zone" sqref="N12" xr:uid="{807BD8A9-3806-438C-9985-1876D92954AC}"/>
    <dataValidation allowBlank="1" showInputMessage="1" showErrorMessage="1" prompt="Is this rule temporary or persistent?" sqref="R12" xr:uid="{DA27E1D6-701D-48F5-BC75-407FA578AE3D}"/>
    <dataValidation allowBlank="1" showInputMessage="1" showErrorMessage="1" prompt="Click on a cell for more information" sqref="I2:J7" xr:uid="{070FBB61-F037-4E37-AA03-AC5D52CAC5C9}"/>
    <dataValidation allowBlank="1" showInputMessage="1" showErrorMessage="1" prompt="Used by the Servicedesk team only!" sqref="U11:V11" xr:uid="{67B644D3-7D5F-42FD-AB76-2D9752357913}"/>
    <dataValidation allowBlank="1" showInputMessage="1" showErrorMessage="1" prompt="Use this textbox below to add additional information (context) to this firewall change request." sqref="B31" xr:uid="{C977155D-5C49-472C-90B8-A7DE494D5FCF}"/>
    <dataValidation allowBlank="1" showInputMessage="1" showErrorMessage="1" prompt="Traffic allow or deny?" sqref="Q12" xr:uid="{D09CDA75-3C18-4EA3-B738-AFB84EE542F9}"/>
    <dataValidation allowBlank="1" showInputMessage="1" showErrorMessage="1" prompt="Destination Network Zone (Optional)" sqref="M12" xr:uid="{D25FDE00-B766-4441-86E7-E1BFB64EA23F}"/>
    <dataValidation type="whole" errorStyle="warning" allowBlank="1" showErrorMessage="1" errorTitle="Warning" error="Single Portnumber or Portrange (x-y)." sqref="P14:P28" xr:uid="{26290078-CD22-4E55-8BB9-94F7A923F82C}">
      <formula1>1</formula1>
      <formula2>65535</formula2>
    </dataValidation>
    <dataValidation type="decimal" errorStyle="warning" allowBlank="1" showErrorMessage="1" errorTitle="Warning" error="Please enter a single Portnumber or Portrange (x-y)." sqref="P13" xr:uid="{FB587E76-80F7-45CB-95D5-E606324D09EA}">
      <formula1>1</formula1>
      <formula2>65535</formula2>
    </dataValidation>
    <dataValidation allowBlank="1" showInputMessage="1" showErrorMessage="1" prompt="Understandable description of this rule." sqref="C12" xr:uid="{CAC6BA0A-CB62-40D5-9E5E-7CFA2365B051}"/>
    <dataValidation allowBlank="1" showInputMessage="1" showErrorMessage="1" prompt="The CI number of the application that is reached." sqref="J12" xr:uid="{E7B29978-4833-4310-91E2-22BBECE3E31D}"/>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xWindow="673" yWindow="359" count="7">
        <x14:dataValidation type="list" allowBlank="1" showInputMessage="1" showErrorMessage="1" xr:uid="{3F306E92-FA09-4D15-A6E9-BBDC739B12FB}">
          <x14:formula1>
            <xm:f>Content!$B$9:$B$18</xm:f>
          </x14:formula1>
          <xm:sqref>S13:S28</xm:sqref>
        </x14:dataValidation>
        <x14:dataValidation type="list" allowBlank="1" showInputMessage="1" showErrorMessage="1" xr:uid="{247D9603-44D6-4050-88E8-F72E78C1EC24}">
          <x14:formula1>
            <xm:f>Content!$D$17:$D$20</xm:f>
          </x14:formula1>
          <xm:sqref>O13</xm:sqref>
        </x14:dataValidation>
        <x14:dataValidation type="list" allowBlank="1" showInputMessage="1" showErrorMessage="1" xr:uid="{C455FFDB-5C8B-4F88-9927-3C6CC169A3B8}">
          <x14:formula1>
            <xm:f>Content!$D$12:$D$13</xm:f>
          </x14:formula1>
          <xm:sqref>R13:R28</xm:sqref>
        </x14:dataValidation>
        <x14:dataValidation type="list" allowBlank="1" showInputMessage="1" showErrorMessage="1" xr:uid="{6C601740-0E2F-4124-AA80-509444165BE0}">
          <x14:formula1>
            <xm:f>Content!$F$3:$F$13</xm:f>
          </x14:formula1>
          <xm:sqref>G13:G28 M13:M28</xm:sqref>
        </x14:dataValidation>
        <x14:dataValidation type="list" allowBlank="1" showInputMessage="1" showErrorMessage="1" xr:uid="{BA36F94E-A3CE-41A1-999F-7639E602BBB2}">
          <x14:formula1>
            <xm:f>Content!$A$9:$A$40</xm:f>
          </x14:formula1>
          <xm:sqref>N13:N28</xm:sqref>
        </x14:dataValidation>
        <x14:dataValidation type="list" allowBlank="1" showInputMessage="1" showErrorMessage="1" xr:uid="{88407BA1-9F27-4E6F-AF3E-F7B39B1A3DEE}">
          <x14:formula1>
            <xm:f>Content!$D$9:$D$10</xm:f>
          </x14:formula1>
          <xm:sqref>Q13:Q28</xm:sqref>
        </x14:dataValidation>
        <x14:dataValidation type="list" allowBlank="1" showInputMessage="1" showErrorMessage="1" errorTitle="Warning" error="Please select the right protocol from the dropdown list." xr:uid="{6A0CB0F0-97F9-4D8F-98C6-8DC5C91BC7CF}">
          <x14:formula1>
            <xm:f>Content!$D$17:$D$20</xm:f>
          </x14:formula1>
          <xm:sqref>O14:O28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797B-534C-42AE-B29A-64AEB2F38590}">
  <dimension ref="A1:BI110"/>
  <sheetViews>
    <sheetView zoomScaleNormal="100" workbookViewId="0">
      <selection activeCell="C14" sqref="C14"/>
    </sheetView>
  </sheetViews>
  <sheetFormatPr defaultColWidth="0" defaultRowHeight="15.75" customHeight="1" zeroHeight="1" x14ac:dyDescent="0.7"/>
  <cols>
    <col min="1" max="1" width="8.5234375" style="11" customWidth="1"/>
    <col min="2" max="2" width="6.3125" style="11" customWidth="1"/>
    <col min="3" max="3" width="43.3125" style="11" customWidth="1"/>
    <col min="4" max="4" width="16.1015625" style="11" customWidth="1"/>
    <col min="5" max="5" width="30.89453125" style="11" customWidth="1"/>
    <col min="6" max="6" width="29" style="11" customWidth="1"/>
    <col min="7" max="7" width="31.3125" style="11" customWidth="1"/>
    <col min="8" max="8" width="6.89453125" style="11" hidden="1" customWidth="1"/>
    <col min="9" max="9" width="33" style="11" bestFit="1" customWidth="1"/>
    <col min="10" max="10" width="17.41796875" style="11" customWidth="1"/>
    <col min="11" max="11" width="29.3125" style="11" customWidth="1"/>
    <col min="12" max="12" width="30.5234375" style="11" customWidth="1"/>
    <col min="13" max="13" width="32.5234375" style="11" customWidth="1"/>
    <col min="14" max="14" width="29.41796875" style="12" bestFit="1" customWidth="1"/>
    <col min="15" max="15" width="10.68359375" style="12" customWidth="1"/>
    <col min="16" max="16" width="16.68359375" style="12" customWidth="1"/>
    <col min="17" max="17" width="10.68359375" style="12" customWidth="1"/>
    <col min="18" max="18" width="15.89453125" style="12" bestFit="1" customWidth="1"/>
    <col min="19" max="19" width="21.3125" style="12" hidden="1" customWidth="1"/>
    <col min="20" max="20" width="56.5234375" style="12" hidden="1" customWidth="1"/>
    <col min="21" max="21" width="26" style="12" customWidth="1"/>
    <col min="22" max="22" width="27.3125" style="12" customWidth="1"/>
    <col min="23" max="23" width="8.5234375" style="11" customWidth="1"/>
    <col min="24" max="61" width="0" style="11" hidden="1" customWidth="1"/>
    <col min="62" max="16384" width="9.1015625" style="11" hidden="1"/>
  </cols>
  <sheetData>
    <row r="1" spans="1:23" s="12" customFormat="1" ht="15" customHeight="1" x14ac:dyDescent="1.3">
      <c r="A1" s="18"/>
      <c r="B1" s="31"/>
      <c r="C1" s="32"/>
      <c r="D1" s="32"/>
      <c r="E1" s="18"/>
      <c r="F1" s="18"/>
      <c r="G1" s="18"/>
      <c r="H1" s="18"/>
      <c r="I1" s="18"/>
      <c r="J1" s="18"/>
      <c r="K1" s="18"/>
      <c r="L1" s="18"/>
      <c r="M1" s="18"/>
      <c r="N1" s="18"/>
      <c r="O1" s="18"/>
      <c r="P1" s="18"/>
      <c r="Q1" s="18"/>
      <c r="R1" s="18"/>
      <c r="S1" s="18"/>
      <c r="T1" s="18"/>
      <c r="U1" s="18"/>
      <c r="V1" s="18"/>
      <c r="W1" s="18"/>
    </row>
    <row r="2" spans="1:23" s="12" customFormat="1" ht="15.3" x14ac:dyDescent="0.7">
      <c r="A2" s="18"/>
      <c r="B2" s="33"/>
      <c r="C2" s="18"/>
      <c r="D2" s="18"/>
      <c r="E2" s="18"/>
      <c r="F2" s="18"/>
      <c r="G2" s="18"/>
      <c r="H2" s="18"/>
      <c r="I2" s="208"/>
      <c r="J2" s="19"/>
      <c r="K2" s="18"/>
      <c r="L2" s="18"/>
      <c r="M2" s="18"/>
      <c r="N2" s="18"/>
      <c r="O2" s="18"/>
      <c r="P2" s="18"/>
      <c r="Q2" s="18"/>
      <c r="R2" s="18"/>
      <c r="S2" s="18"/>
      <c r="T2" s="18"/>
      <c r="U2" s="18"/>
      <c r="V2" s="18"/>
      <c r="W2" s="18"/>
    </row>
    <row r="3" spans="1:23" s="12" customFormat="1" ht="15.3" x14ac:dyDescent="0.7">
      <c r="A3" s="18"/>
      <c r="B3" s="33"/>
      <c r="C3" s="18"/>
      <c r="D3" s="18"/>
      <c r="E3" s="18"/>
      <c r="F3" s="18"/>
      <c r="G3" s="18"/>
      <c r="H3" s="18"/>
      <c r="I3" s="208"/>
      <c r="J3" s="19"/>
      <c r="K3" s="18"/>
      <c r="L3" s="18"/>
      <c r="M3" s="18"/>
      <c r="N3" s="18"/>
      <c r="O3" s="18"/>
      <c r="P3" s="18"/>
      <c r="Q3" s="18"/>
      <c r="R3" s="18"/>
      <c r="S3" s="18"/>
      <c r="T3" s="18"/>
      <c r="U3" s="18"/>
      <c r="V3" s="18"/>
      <c r="W3" s="18"/>
    </row>
    <row r="4" spans="1:23" s="12" customFormat="1" ht="15.3" x14ac:dyDescent="0.7">
      <c r="A4" s="18"/>
      <c r="B4" s="33"/>
      <c r="C4" s="18"/>
      <c r="D4" s="18"/>
      <c r="E4" s="18"/>
      <c r="F4" s="18"/>
      <c r="G4" s="18"/>
      <c r="H4" s="18"/>
      <c r="I4" s="208"/>
      <c r="J4" s="19"/>
      <c r="K4" s="18"/>
      <c r="L4" s="18"/>
      <c r="M4" s="18"/>
      <c r="N4" s="18"/>
      <c r="O4" s="18"/>
      <c r="P4" s="18"/>
      <c r="Q4" s="18"/>
      <c r="R4" s="18"/>
      <c r="S4" s="18"/>
      <c r="T4" s="18"/>
      <c r="U4" s="18"/>
      <c r="V4" s="18"/>
      <c r="W4" s="18"/>
    </row>
    <row r="5" spans="1:23" s="12" customFormat="1" ht="15.3" x14ac:dyDescent="0.7">
      <c r="A5" s="18"/>
      <c r="B5" s="33"/>
      <c r="C5" s="18"/>
      <c r="D5" s="18"/>
      <c r="E5" s="18"/>
      <c r="F5" s="18"/>
      <c r="G5" s="18"/>
      <c r="H5" s="18"/>
      <c r="I5" s="208"/>
      <c r="J5" s="19"/>
      <c r="K5" s="18"/>
      <c r="L5" s="18"/>
      <c r="M5" s="18"/>
      <c r="N5" s="18"/>
      <c r="O5" s="18"/>
      <c r="P5" s="18"/>
      <c r="Q5" s="18"/>
      <c r="R5" s="18"/>
      <c r="S5" s="18"/>
      <c r="T5" s="18"/>
      <c r="U5" s="18"/>
      <c r="V5" s="18"/>
      <c r="W5" s="18"/>
    </row>
    <row r="6" spans="1:23" s="12" customFormat="1" ht="15.3" x14ac:dyDescent="0.7">
      <c r="A6" s="18"/>
      <c r="B6" s="33"/>
      <c r="C6" s="18"/>
      <c r="D6" s="18"/>
      <c r="E6" s="18"/>
      <c r="F6" s="18"/>
      <c r="G6" s="18"/>
      <c r="H6" s="18"/>
      <c r="I6" s="208"/>
      <c r="J6" s="19"/>
      <c r="K6" s="18"/>
      <c r="L6" s="18"/>
      <c r="M6" s="18"/>
      <c r="N6" s="18"/>
      <c r="O6" s="18"/>
      <c r="P6" s="18"/>
      <c r="Q6" s="18"/>
      <c r="R6" s="18"/>
      <c r="S6" s="18"/>
      <c r="T6" s="18"/>
      <c r="U6" s="18"/>
      <c r="V6" s="18"/>
      <c r="W6" s="18"/>
    </row>
    <row r="7" spans="1:23" s="12" customFormat="1" ht="15.6" thickBot="1" x14ac:dyDescent="0.75">
      <c r="A7" s="18"/>
      <c r="B7" s="33"/>
      <c r="C7" s="18"/>
      <c r="D7" s="18"/>
      <c r="E7" s="18"/>
      <c r="F7" s="18"/>
      <c r="G7" s="18"/>
      <c r="H7" s="18"/>
      <c r="I7" s="208"/>
      <c r="J7" s="19"/>
      <c r="K7" s="18"/>
      <c r="L7" s="18"/>
      <c r="M7" s="18"/>
      <c r="N7" s="18"/>
      <c r="O7" s="18"/>
      <c r="P7" s="18"/>
      <c r="Q7" s="18"/>
      <c r="R7" s="18"/>
      <c r="S7" s="18"/>
      <c r="T7" s="18"/>
      <c r="U7" s="18"/>
      <c r="V7" s="18"/>
      <c r="W7" s="18"/>
    </row>
    <row r="8" spans="1:23" s="12" customFormat="1" ht="15.9" thickTop="1" thickBot="1" x14ac:dyDescent="0.75">
      <c r="A8" s="18"/>
      <c r="B8" s="33"/>
      <c r="C8" s="18"/>
      <c r="D8" s="18"/>
      <c r="E8" s="123" t="s">
        <v>80</v>
      </c>
      <c r="F8" s="18"/>
      <c r="G8" s="18"/>
      <c r="H8" s="18"/>
      <c r="I8" s="18"/>
      <c r="J8" s="18"/>
      <c r="K8" s="18"/>
      <c r="L8" s="18"/>
      <c r="M8" s="18"/>
      <c r="N8" s="18"/>
      <c r="O8" s="18"/>
      <c r="P8" s="18"/>
      <c r="Q8" s="18"/>
      <c r="R8" s="18"/>
      <c r="S8" s="18"/>
      <c r="T8" s="18"/>
      <c r="U8" s="18"/>
      <c r="V8" s="18"/>
      <c r="W8" s="18"/>
    </row>
    <row r="9" spans="1:23" s="12" customFormat="1" ht="15.6" thickTop="1" x14ac:dyDescent="0.7">
      <c r="A9" s="18"/>
      <c r="B9" s="33"/>
      <c r="C9" s="18"/>
      <c r="D9" s="18"/>
      <c r="E9" s="18"/>
      <c r="F9" s="18"/>
      <c r="G9" s="18"/>
      <c r="H9" s="18"/>
      <c r="I9" s="18"/>
      <c r="J9" s="18"/>
      <c r="K9" s="18"/>
      <c r="L9" s="18"/>
      <c r="M9" s="18"/>
      <c r="N9" s="18"/>
      <c r="O9" s="18"/>
      <c r="P9" s="18"/>
      <c r="Q9" s="18"/>
      <c r="R9" s="18"/>
      <c r="S9" s="18"/>
      <c r="T9" s="18"/>
      <c r="U9" s="18"/>
      <c r="V9" s="18"/>
      <c r="W9" s="18"/>
    </row>
    <row r="10" spans="1:23" s="12" customFormat="1" ht="15.6" thickBot="1" x14ac:dyDescent="0.75">
      <c r="A10" s="18"/>
      <c r="B10" s="33"/>
      <c r="C10" s="18"/>
      <c r="D10" s="18"/>
      <c r="E10" s="18"/>
      <c r="F10" s="18"/>
      <c r="G10" s="18"/>
      <c r="H10" s="18"/>
      <c r="I10" s="18"/>
      <c r="J10" s="18"/>
      <c r="K10" s="18"/>
      <c r="L10" s="18"/>
      <c r="M10" s="18"/>
      <c r="N10" s="18"/>
      <c r="O10" s="18"/>
      <c r="P10" s="18"/>
      <c r="Q10" s="18"/>
      <c r="R10" s="18"/>
      <c r="S10" s="18"/>
      <c r="T10" s="18"/>
      <c r="U10" s="18"/>
      <c r="V10" s="18"/>
      <c r="W10" s="18"/>
    </row>
    <row r="11" spans="1:23" ht="15.6" thickBot="1" x14ac:dyDescent="0.75">
      <c r="A11" s="18"/>
      <c r="B11" s="22"/>
      <c r="C11" s="22"/>
      <c r="D11" s="182"/>
      <c r="E11" s="206" t="s">
        <v>81</v>
      </c>
      <c r="F11" s="206"/>
      <c r="G11" s="206"/>
      <c r="H11" s="206"/>
      <c r="I11" s="206"/>
      <c r="J11" s="176"/>
      <c r="K11" s="206" t="s">
        <v>82</v>
      </c>
      <c r="L11" s="206"/>
      <c r="M11" s="207"/>
      <c r="N11" s="18"/>
      <c r="O11" s="18"/>
      <c r="P11" s="18"/>
      <c r="Q11" s="18"/>
      <c r="R11" s="22"/>
      <c r="S11" s="22"/>
      <c r="T11" s="22"/>
      <c r="U11" s="204" t="s">
        <v>83</v>
      </c>
      <c r="V11" s="205"/>
      <c r="W11" s="18"/>
    </row>
    <row r="12" spans="1:23" ht="15.6" thickBot="1" x14ac:dyDescent="0.75">
      <c r="A12" s="18"/>
      <c r="B12" s="68" t="s">
        <v>84</v>
      </c>
      <c r="C12" s="70" t="s">
        <v>4</v>
      </c>
      <c r="D12" s="181" t="s">
        <v>85</v>
      </c>
      <c r="E12" s="74" t="s">
        <v>86</v>
      </c>
      <c r="F12" s="75" t="s">
        <v>87</v>
      </c>
      <c r="G12" s="179" t="s">
        <v>88</v>
      </c>
      <c r="H12" s="180"/>
      <c r="I12" s="74" t="s">
        <v>89</v>
      </c>
      <c r="J12" s="74" t="s">
        <v>90</v>
      </c>
      <c r="K12" s="74" t="s">
        <v>91</v>
      </c>
      <c r="L12" s="75" t="s">
        <v>87</v>
      </c>
      <c r="M12" s="76" t="s">
        <v>88</v>
      </c>
      <c r="N12" s="74" t="s">
        <v>28</v>
      </c>
      <c r="O12" s="178" t="s">
        <v>92</v>
      </c>
      <c r="P12" s="186" t="s">
        <v>93</v>
      </c>
      <c r="Q12" s="187" t="s">
        <v>94</v>
      </c>
      <c r="R12" s="186" t="s">
        <v>95</v>
      </c>
      <c r="S12" s="35" t="s">
        <v>96</v>
      </c>
      <c r="T12" s="34" t="s">
        <v>97</v>
      </c>
      <c r="U12" s="129" t="s">
        <v>98</v>
      </c>
      <c r="V12" s="130" t="s">
        <v>99</v>
      </c>
      <c r="W12" s="18"/>
    </row>
    <row r="13" spans="1:23" ht="15.3" x14ac:dyDescent="0.7">
      <c r="A13" s="18"/>
      <c r="B13" s="165" t="s">
        <v>100</v>
      </c>
      <c r="C13" s="136" t="s">
        <v>101</v>
      </c>
      <c r="D13" s="138">
        <v>123456</v>
      </c>
      <c r="E13" s="137" t="s">
        <v>102</v>
      </c>
      <c r="F13" s="138" t="s">
        <v>103</v>
      </c>
      <c r="G13" s="139" t="s">
        <v>104</v>
      </c>
      <c r="H13" s="140"/>
      <c r="I13" s="141" t="s">
        <v>21</v>
      </c>
      <c r="J13" s="138">
        <v>567890</v>
      </c>
      <c r="K13" s="177" t="s">
        <v>105</v>
      </c>
      <c r="L13" s="138" t="s">
        <v>106</v>
      </c>
      <c r="M13" s="139" t="s">
        <v>107</v>
      </c>
      <c r="N13" s="143" t="s">
        <v>108</v>
      </c>
      <c r="O13" s="183" t="s">
        <v>109</v>
      </c>
      <c r="P13" s="183">
        <v>53</v>
      </c>
      <c r="Q13" s="184" t="s">
        <v>110</v>
      </c>
      <c r="R13" s="185" t="s">
        <v>111</v>
      </c>
      <c r="S13" s="147" t="s">
        <v>112</v>
      </c>
      <c r="T13" s="148" t="s">
        <v>113</v>
      </c>
      <c r="U13" s="149" t="str" cm="1">
        <f t="array" ref="U13">IF(E13="","",IF(OR(ISNUMBER(SEARCH({"10.205.37";"10.205.38";"10.205.69";"10.205.31";"10.205.28";"10.205.27"},E13))),"Platform-Runtime and Azure OPS",
IF(OR(ISNUMBER(SEARCH({"10.229.16";"10.229.17";"10.229.18";"10.229.19";"10.229.20";"10.229.21";"10.229.25";"10.229.26"},E13))),"SDDC",
IF(OR(ISNUMBER(SEARCH({"10.220";"10.221";"10.222";"10.223";"10.224";"10.225";"10.227";"10.229";"185.130.242"},E13))),"SDDC",
IF(OR(ISNUMBER(SEARCH({"10.226";"10.205"},E13))),"Azure OPS and SDDC",
IF(AND(NOT(ISNUMBER(SEARCH({"10.220";"10.221";"10.222";"10.223";"10.224";"10.225";"10.229";"10.226";"10.227";"10.205";"10.205.37";"10.205.38";"10.205.69";"10.205.31";"10.205.28";"10.205.27";"10.229.16";"10.229.17";"10.229.18";"10.229.19";"10.229.20";"10.229.21";"10.229.25";"10.229.26"},E13)))),"SCT SI - OCD",""))))))</f>
        <v>SCT SI - OCD</v>
      </c>
      <c r="V13" s="150" t="str" cm="1">
        <f t="array" ref="V13">IF(K13="","",IF(OR(ISNUMBER(SEARCH({"10.205.37";"10.205.38";"10.205.69";"10.205.31";"10.205.28";"10.205.27"},K13))),"Platform-Runtime and Azure OPS",
IF(OR(ISNUMBER(SEARCH({"10.229.16";"10.229.17";"10.229.18";"10.229.19";"10.229.20";"10.229.21";"10.229.25";"10.229.26"},K13))),"SDDC",
IF(OR(ISNUMBER(SEARCH({"10.220";"10.221";"10.222";"10.223";"10.224";"10.225";"10.227";"10.229"},K13))),"SDDC",
IF(OR(ISNUMBER(SEARCH({"10.226";"10.205"},K13))),"Azure OPS and SDDC",
IF(AND(NOT(ISNUMBER(SEARCH({"10.220";"10.221";"10.222";"10.223";"10.224";"10.225";"10.229";"10.226";"10.227";"10.205";"10.205.37";"10.205.38";"10.205.69";"10.205.31";"10.205.28";"10.205.27";"10.229.16";"10.229.17";"10.229.18";"10.229.19";"10.229.20";"10.229.21";"10.229.25";"10.229.26"},K13)))),"SCT SI - OCD",""))))))</f>
        <v>SCT SI - OCD</v>
      </c>
      <c r="W13" s="18"/>
    </row>
    <row r="14" spans="1:23" ht="15.3" x14ac:dyDescent="0.7">
      <c r="A14" s="18"/>
      <c r="B14" s="78">
        <v>16</v>
      </c>
      <c r="C14" s="171"/>
      <c r="D14" s="37"/>
      <c r="E14" s="38"/>
      <c r="F14" s="39"/>
      <c r="G14" s="36"/>
      <c r="H14" s="36"/>
      <c r="I14" s="36"/>
      <c r="J14" s="188"/>
      <c r="K14" s="38"/>
      <c r="L14" s="39"/>
      <c r="M14" s="36"/>
      <c r="N14" s="36"/>
      <c r="O14" s="36"/>
      <c r="P14" s="159"/>
      <c r="Q14" s="40"/>
      <c r="R14" s="41" t="s">
        <v>47</v>
      </c>
      <c r="S14" s="42"/>
      <c r="T14" s="43"/>
      <c r="U14" s="131" t="str" cm="1">
        <f t="array" ref="U14">IF(E14="","",IF(OR(ISNUMBER(SEARCH({"10.205.37";"10.205.38";"10.205.69";"10.205.31";"10.205.28";"10.205.27"},E14))),"Platform-Runtime and Azure OPS",
IF(OR(ISNUMBER(SEARCH({"10.229.16";"10.229.17";"10.229.18";"10.229.19";"10.229.20";"10.229.21";"10.229.25";"10.229.26"},E14))),"SDDC",
IF(OR(ISNUMBER(SEARCH({"10.220";"10.221";"10.222";"10.223";"10.224";"10.225";"10.227";"10.229";"185.130.242"},E14))),"SDDC",
IF(OR(ISNUMBER(SEARCH({"10.226";"10.205"},E14))),"Azure OPS and SDDC",
IF(AND(NOT(ISNUMBER(SEARCH({"10.220";"10.221";"10.222";"10.223";"10.224";"10.225";"10.229";"10.226";"10.227";"10.205";"10.205.37";"10.205.38";"10.205.69";"10.205.31";"10.205.28";"10.205.27";"10.229.16";"10.229.17";"10.229.18";"10.229.19";"10.229.20";"10.229.21";"10.229.25";"10.229.26"},E14)))),"SCT SI - OCD",""))))))</f>
        <v/>
      </c>
      <c r="V14" s="127" t="str" cm="1">
        <f t="array" ref="V14">IF(K14="","",IF(OR(ISNUMBER(SEARCH({"10.205.37";"10.205.38";"10.205.69";"10.205.31";"10.205.28";"10.205.27"},K14))),"Platform-Runtime and Azure OPS",
IF(OR(ISNUMBER(SEARCH({"10.229.16";"10.229.17";"10.229.18";"10.229.19";"10.229.20";"10.229.21";"10.229.25";"10.229.26"},K14))),"SDDC",
IF(OR(ISNUMBER(SEARCH({"10.220";"10.221";"10.222";"10.223";"10.224";"10.225";"10.227";"10.229"},K14))),"SDDC",
IF(OR(ISNUMBER(SEARCH({"10.226";"10.205"},K14))),"Azure OPS and SDDC",
IF(AND(NOT(ISNUMBER(SEARCH({"10.220";"10.221";"10.222";"10.223";"10.224";"10.225";"10.229";"10.226";"10.227";"10.205";"10.205.37";"10.205.38";"10.205.69";"10.205.31";"10.205.28";"10.205.27";"10.229.16";"10.229.17";"10.229.18";"10.229.19";"10.229.20";"10.229.21";"10.229.25";"10.229.26"},K14)))),"SCT SI - OCD",""))))))</f>
        <v/>
      </c>
      <c r="W14" s="18"/>
    </row>
    <row r="15" spans="1:23" ht="15.3" x14ac:dyDescent="0.7">
      <c r="A15" s="18"/>
      <c r="B15" s="45">
        <v>17</v>
      </c>
      <c r="C15" s="170"/>
      <c r="D15" s="47"/>
      <c r="E15" s="49"/>
      <c r="F15" s="36"/>
      <c r="G15" s="36"/>
      <c r="H15" s="36"/>
      <c r="I15" s="46"/>
      <c r="J15" s="170"/>
      <c r="K15" s="49"/>
      <c r="L15" s="36"/>
      <c r="M15" s="36"/>
      <c r="N15" s="36"/>
      <c r="O15" s="36"/>
      <c r="P15" s="159"/>
      <c r="Q15" s="40"/>
      <c r="R15" s="41" t="s">
        <v>47</v>
      </c>
      <c r="S15" s="42"/>
      <c r="T15" s="50"/>
      <c r="U15" s="131" t="str" cm="1">
        <f t="array" ref="U15">IF(E15="","",IF(OR(ISNUMBER(SEARCH({"10.205.37";"10.205.38";"10.205.69";"10.205.31";"10.205.28";"10.205.27"},E15))),"Platform-Runtime and Azure OPS",
IF(OR(ISNUMBER(SEARCH({"10.229.16";"10.229.17";"10.229.18";"10.229.19";"10.229.20";"10.229.21";"10.229.25";"10.229.26"},E15))),"SDDC",
IF(OR(ISNUMBER(SEARCH({"10.220";"10.221";"10.222";"10.223";"10.224";"10.225";"10.227";"10.229";"185.130.242"},E15))),"SDDC",
IF(OR(ISNUMBER(SEARCH({"10.226";"10.205"},E15))),"Azure OPS and SDDC",
IF(AND(NOT(ISNUMBER(SEARCH({"10.220";"10.221";"10.222";"10.223";"10.224";"10.225";"10.229";"10.226";"10.227";"10.205";"10.205.37";"10.205.38";"10.205.69";"10.205.31";"10.205.28";"10.205.27";"10.229.16";"10.229.17";"10.229.18";"10.229.19";"10.229.20";"10.229.21";"10.229.25";"10.229.26"},E15)))),"SCT SI - OCD",""))))))</f>
        <v/>
      </c>
      <c r="V15" s="127" t="str" cm="1">
        <f t="array" ref="V15">IF(K15="","",IF(OR(ISNUMBER(SEARCH({"10.205.37";"10.205.38";"10.205.69";"10.205.31";"10.205.28";"10.205.27"},K15))),"Platform-Runtime and Azure OPS",
IF(OR(ISNUMBER(SEARCH({"10.229.16";"10.229.17";"10.229.18";"10.229.19";"10.229.20";"10.229.21";"10.229.25";"10.229.26"},K15))),"SDDC",
IF(OR(ISNUMBER(SEARCH({"10.220";"10.221";"10.222";"10.223";"10.224";"10.225";"10.227";"10.229"},K15))),"SDDC",
IF(OR(ISNUMBER(SEARCH({"10.226";"10.205"},K15))),"Azure OPS and SDDC",
IF(AND(NOT(ISNUMBER(SEARCH({"10.220";"10.221";"10.222";"10.223";"10.224";"10.225";"10.229";"10.226";"10.227";"10.205";"10.205.37";"10.205.38";"10.205.69";"10.205.31";"10.205.28";"10.205.27";"10.229.16";"10.229.17";"10.229.18";"10.229.19";"10.229.20";"10.229.21";"10.229.25";"10.229.26"},K15)))),"SCT SI - OCD",""))))))</f>
        <v/>
      </c>
      <c r="W15" s="126"/>
    </row>
    <row r="16" spans="1:23" ht="15.3" x14ac:dyDescent="0.7">
      <c r="A16" s="18"/>
      <c r="B16" s="45">
        <v>18</v>
      </c>
      <c r="C16" s="170"/>
      <c r="D16" s="47"/>
      <c r="E16" s="49"/>
      <c r="F16" s="46"/>
      <c r="G16" s="36"/>
      <c r="H16" s="46"/>
      <c r="I16" s="46"/>
      <c r="J16" s="170"/>
      <c r="K16" s="49"/>
      <c r="L16" s="36"/>
      <c r="M16" s="36"/>
      <c r="N16" s="36"/>
      <c r="O16" s="36"/>
      <c r="P16" s="159"/>
      <c r="Q16" s="40"/>
      <c r="R16" s="41" t="s">
        <v>47</v>
      </c>
      <c r="S16" s="42"/>
      <c r="T16" s="50"/>
      <c r="U16" s="131" t="str" cm="1">
        <f t="array" ref="U16">IF(E16="","",IF(OR(ISNUMBER(SEARCH({"10.205.37";"10.205.38";"10.205.69";"10.205.31";"10.205.28";"10.205.27"},E16))),"Platform-Runtime and Azure OPS",
IF(OR(ISNUMBER(SEARCH({"10.229.16";"10.229.17";"10.229.18";"10.229.19";"10.229.20";"10.229.21";"10.229.25";"10.229.26"},E16))),"SDDC",
IF(OR(ISNUMBER(SEARCH({"10.220";"10.221";"10.222";"10.223";"10.224";"10.225";"10.227";"10.229";"185.130.242"},E16))),"SDDC",
IF(OR(ISNUMBER(SEARCH({"10.226";"10.205"},E16))),"Azure OPS and SDDC",
IF(AND(NOT(ISNUMBER(SEARCH({"10.220";"10.221";"10.222";"10.223";"10.224";"10.225";"10.229";"10.226";"10.227";"10.205";"10.205.37";"10.205.38";"10.205.69";"10.205.31";"10.205.28";"10.205.27";"10.229.16";"10.229.17";"10.229.18";"10.229.19";"10.229.20";"10.229.21";"10.229.25";"10.229.26"},E16)))),"SCT SI - OCD",""))))))</f>
        <v/>
      </c>
      <c r="V16" s="127" t="str" cm="1">
        <f t="array" ref="V16">IF(K16="","",IF(OR(ISNUMBER(SEARCH({"10.205.37";"10.205.38";"10.205.69";"10.205.31";"10.205.28";"10.205.27"},K16))),"Platform-Runtime and Azure OPS",
IF(OR(ISNUMBER(SEARCH({"10.229.16";"10.229.17";"10.229.18";"10.229.19";"10.229.20";"10.229.21";"10.229.25";"10.229.26"},K16))),"SDDC",
IF(OR(ISNUMBER(SEARCH({"10.220";"10.221";"10.222";"10.223";"10.224";"10.225";"10.227";"10.229"},K16))),"SDDC",
IF(OR(ISNUMBER(SEARCH({"10.226";"10.205"},K16))),"Azure OPS and SDDC",
IF(AND(NOT(ISNUMBER(SEARCH({"10.220";"10.221";"10.222";"10.223";"10.224";"10.225";"10.229";"10.226";"10.227";"10.205";"10.205.37";"10.205.38";"10.205.69";"10.205.31";"10.205.28";"10.205.27";"10.229.16";"10.229.17";"10.229.18";"10.229.19";"10.229.20";"10.229.21";"10.229.25";"10.229.26"},K16)))),"SCT SI - OCD",""))))))</f>
        <v/>
      </c>
      <c r="W16" s="126"/>
    </row>
    <row r="17" spans="1:23" ht="15.3" x14ac:dyDescent="0.7">
      <c r="A17" s="18"/>
      <c r="B17" s="45">
        <v>19</v>
      </c>
      <c r="C17" s="170"/>
      <c r="D17" s="47"/>
      <c r="E17" s="49"/>
      <c r="F17" s="46"/>
      <c r="G17" s="36"/>
      <c r="H17" s="46"/>
      <c r="I17" s="46"/>
      <c r="J17" s="170"/>
      <c r="K17" s="49"/>
      <c r="L17" s="36"/>
      <c r="M17" s="36"/>
      <c r="N17" s="36"/>
      <c r="O17" s="36"/>
      <c r="P17" s="159"/>
      <c r="Q17" s="40"/>
      <c r="R17" s="41" t="s">
        <v>47</v>
      </c>
      <c r="S17" s="42"/>
      <c r="T17" s="50"/>
      <c r="U17" s="131" t="str" cm="1">
        <f t="array" ref="U17">IF(E17="","",IF(OR(ISNUMBER(SEARCH({"10.205.37";"10.205.38";"10.205.69";"10.205.31";"10.205.28";"10.205.27"},E17))),"Platform-Runtime and Azure OPS",
IF(OR(ISNUMBER(SEARCH({"10.229.16";"10.229.17";"10.229.18";"10.229.19";"10.229.20";"10.229.21";"10.229.25";"10.229.26"},E17))),"SDDC",
IF(OR(ISNUMBER(SEARCH({"10.220";"10.221";"10.222";"10.223";"10.224";"10.225";"10.227";"10.229";"185.130.242"},E17))),"SDDC",
IF(OR(ISNUMBER(SEARCH({"10.226";"10.205"},E17))),"Azure OPS and SDDC",
IF(AND(NOT(ISNUMBER(SEARCH({"10.220";"10.221";"10.222";"10.223";"10.224";"10.225";"10.229";"10.226";"10.227";"10.205";"10.205.37";"10.205.38";"10.205.69";"10.205.31";"10.205.28";"10.205.27";"10.229.16";"10.229.17";"10.229.18";"10.229.19";"10.229.20";"10.229.21";"10.229.25";"10.229.26"},E17)))),"SCT SI - OCD",""))))))</f>
        <v/>
      </c>
      <c r="V17" s="127" t="str" cm="1">
        <f t="array" ref="V17">IF(K17="","",IF(OR(ISNUMBER(SEARCH({"10.205.37";"10.205.38";"10.205.69";"10.205.31";"10.205.28";"10.205.27"},K17))),"Platform-Runtime and Azure OPS",
IF(OR(ISNUMBER(SEARCH({"10.229.16";"10.229.17";"10.229.18";"10.229.19";"10.229.20";"10.229.21";"10.229.25";"10.229.26"},K17))),"SDDC",
IF(OR(ISNUMBER(SEARCH({"10.220";"10.221";"10.222";"10.223";"10.224";"10.225";"10.227";"10.229"},K17))),"SDDC",
IF(OR(ISNUMBER(SEARCH({"10.226";"10.205"},K17))),"Azure OPS and SDDC",
IF(AND(NOT(ISNUMBER(SEARCH({"10.220";"10.221";"10.222";"10.223";"10.224";"10.225";"10.229";"10.226";"10.227";"10.205";"10.205.37";"10.205.38";"10.205.69";"10.205.31";"10.205.28";"10.205.27";"10.229.16";"10.229.17";"10.229.18";"10.229.19";"10.229.20";"10.229.21";"10.229.25";"10.229.26"},K17)))),"SCT SI - OCD",""))))))</f>
        <v/>
      </c>
      <c r="W17" s="126"/>
    </row>
    <row r="18" spans="1:23" ht="15.3" x14ac:dyDescent="0.7">
      <c r="A18" s="18"/>
      <c r="B18" s="45">
        <v>20</v>
      </c>
      <c r="C18" s="170"/>
      <c r="D18" s="47"/>
      <c r="E18" s="49"/>
      <c r="F18" s="46"/>
      <c r="G18" s="36"/>
      <c r="H18" s="46"/>
      <c r="I18" s="46"/>
      <c r="J18" s="170"/>
      <c r="K18" s="49"/>
      <c r="L18" s="36"/>
      <c r="M18" s="36"/>
      <c r="N18" s="36"/>
      <c r="O18" s="36"/>
      <c r="P18" s="159"/>
      <c r="Q18" s="40"/>
      <c r="R18" s="41" t="s">
        <v>47</v>
      </c>
      <c r="S18" s="42"/>
      <c r="T18" s="50"/>
      <c r="U18" s="131" t="str" cm="1">
        <f t="array" ref="U18">IF(E18="","",IF(OR(ISNUMBER(SEARCH({"10.205.37";"10.205.38";"10.205.69";"10.205.31";"10.205.28";"10.205.27"},E18))),"Platform-Runtime and Azure OPS",
IF(OR(ISNUMBER(SEARCH({"10.229.16";"10.229.17";"10.229.18";"10.229.19";"10.229.20";"10.229.21";"10.229.25";"10.229.26"},E18))),"SDDC",
IF(OR(ISNUMBER(SEARCH({"10.220";"10.221";"10.222";"10.223";"10.224";"10.225";"10.227";"10.229";"185.130.242"},E18))),"SDDC",
IF(OR(ISNUMBER(SEARCH({"10.226";"10.205"},E18))),"Azure OPS and SDDC",
IF(AND(NOT(ISNUMBER(SEARCH({"10.220";"10.221";"10.222";"10.223";"10.224";"10.225";"10.229";"10.226";"10.227";"10.205";"10.205.37";"10.205.38";"10.205.69";"10.205.31";"10.205.28";"10.205.27";"10.229.16";"10.229.17";"10.229.18";"10.229.19";"10.229.20";"10.229.21";"10.229.25";"10.229.26"},E18)))),"SCT SI - OCD",""))))))</f>
        <v/>
      </c>
      <c r="V18" s="127" t="str" cm="1">
        <f t="array" ref="V18">IF(K18="","",IF(OR(ISNUMBER(SEARCH({"10.205.37";"10.205.38";"10.205.69";"10.205.31";"10.205.28";"10.205.27"},K18))),"Platform-Runtime and Azure OPS",
IF(OR(ISNUMBER(SEARCH({"10.229.16";"10.229.17";"10.229.18";"10.229.19";"10.229.20";"10.229.21";"10.229.25";"10.229.26"},K18))),"SDDC",
IF(OR(ISNUMBER(SEARCH({"10.220";"10.221";"10.222";"10.223";"10.224";"10.225";"10.227";"10.229"},K18))),"SDDC",
IF(OR(ISNUMBER(SEARCH({"10.226";"10.205"},K18))),"Azure OPS and SDDC",
IF(AND(NOT(ISNUMBER(SEARCH({"10.220";"10.221";"10.222";"10.223";"10.224";"10.225";"10.229";"10.226";"10.227";"10.205";"10.205.37";"10.205.38";"10.205.69";"10.205.31";"10.205.28";"10.205.27";"10.229.16";"10.229.17";"10.229.18";"10.229.19";"10.229.20";"10.229.21";"10.229.25";"10.229.26"},K18)))),"SCT SI - OCD",""))))))</f>
        <v/>
      </c>
      <c r="W18" s="18"/>
    </row>
    <row r="19" spans="1:23" ht="15.3" x14ac:dyDescent="0.7">
      <c r="A19" s="18"/>
      <c r="B19" s="45">
        <v>21</v>
      </c>
      <c r="C19" s="170"/>
      <c r="D19" s="47"/>
      <c r="E19" s="49"/>
      <c r="F19" s="46"/>
      <c r="G19" s="36"/>
      <c r="H19" s="46"/>
      <c r="I19" s="46"/>
      <c r="J19" s="170"/>
      <c r="K19" s="49"/>
      <c r="L19" s="36"/>
      <c r="M19" s="36"/>
      <c r="N19" s="36"/>
      <c r="O19" s="36"/>
      <c r="P19" s="159"/>
      <c r="Q19" s="40"/>
      <c r="R19" s="41" t="s">
        <v>47</v>
      </c>
      <c r="S19" s="42"/>
      <c r="T19" s="50"/>
      <c r="U19" s="131" t="str" cm="1">
        <f t="array" ref="U19">IF(E19="","",IF(OR(ISNUMBER(SEARCH({"10.205.37";"10.205.38";"10.205.69";"10.205.31";"10.205.28";"10.205.27"},E19))),"Platform-Runtime and Azure OPS",
IF(OR(ISNUMBER(SEARCH({"10.229.16";"10.229.17";"10.229.18";"10.229.19";"10.229.20";"10.229.21";"10.229.25";"10.229.26"},E19))),"SDDC",
IF(OR(ISNUMBER(SEARCH({"10.220";"10.221";"10.222";"10.223";"10.224";"10.225";"10.227";"10.229";"185.130.242"},E19))),"SDDC",
IF(OR(ISNUMBER(SEARCH({"10.226";"10.205"},E19))),"Azure OPS and SDDC",
IF(AND(NOT(ISNUMBER(SEARCH({"10.220";"10.221";"10.222";"10.223";"10.224";"10.225";"10.229";"10.226";"10.227";"10.205";"10.205.37";"10.205.38";"10.205.69";"10.205.31";"10.205.28";"10.205.27";"10.229.16";"10.229.17";"10.229.18";"10.229.19";"10.229.20";"10.229.21";"10.229.25";"10.229.26"},E19)))),"SCT SI - OCD",""))))))</f>
        <v/>
      </c>
      <c r="V19" s="127" t="str" cm="1">
        <f t="array" ref="V19">IF(K19="","",IF(OR(ISNUMBER(SEARCH({"10.205.37";"10.205.38";"10.205.69";"10.205.31";"10.205.28";"10.205.27"},K19))),"Platform-Runtime and Azure OPS",
IF(OR(ISNUMBER(SEARCH({"10.229.16";"10.229.17";"10.229.18";"10.229.19";"10.229.20";"10.229.21";"10.229.25";"10.229.26"},K19))),"SDDC",
IF(OR(ISNUMBER(SEARCH({"10.220";"10.221";"10.222";"10.223";"10.224";"10.225";"10.227";"10.229"},K19))),"SDDC",
IF(OR(ISNUMBER(SEARCH({"10.226";"10.205"},K19))),"Azure OPS and SDDC",
IF(AND(NOT(ISNUMBER(SEARCH({"10.220";"10.221";"10.222";"10.223";"10.224";"10.225";"10.229";"10.226";"10.227";"10.205";"10.205.37";"10.205.38";"10.205.69";"10.205.31";"10.205.28";"10.205.27";"10.229.16";"10.229.17";"10.229.18";"10.229.19";"10.229.20";"10.229.21";"10.229.25";"10.229.26"},K19)))),"SCT SI - OCD",""))))))</f>
        <v/>
      </c>
      <c r="W19" s="126"/>
    </row>
    <row r="20" spans="1:23" ht="15.3" x14ac:dyDescent="0.7">
      <c r="A20" s="18"/>
      <c r="B20" s="45">
        <v>22</v>
      </c>
      <c r="C20" s="170"/>
      <c r="D20" s="47"/>
      <c r="E20" s="48"/>
      <c r="F20" s="46"/>
      <c r="G20" s="36"/>
      <c r="H20" s="46"/>
      <c r="I20" s="46"/>
      <c r="J20" s="170"/>
      <c r="K20" s="49"/>
      <c r="L20" s="36"/>
      <c r="M20" s="36"/>
      <c r="N20" s="36"/>
      <c r="O20" s="36"/>
      <c r="P20" s="159"/>
      <c r="Q20" s="40"/>
      <c r="R20" s="41" t="s">
        <v>47</v>
      </c>
      <c r="S20" s="42"/>
      <c r="T20" s="50"/>
      <c r="U20" s="131" t="str" cm="1">
        <f t="array" ref="U20">IF(E20="","",IF(OR(ISNUMBER(SEARCH({"10.205.37";"10.205.38";"10.205.69";"10.205.31";"10.205.28";"10.205.27"},E20))),"Platform-Runtime and Azure OPS",
IF(OR(ISNUMBER(SEARCH({"10.229.16";"10.229.17";"10.229.18";"10.229.19";"10.229.20";"10.229.21";"10.229.25";"10.229.26"},E20))),"SDDC",
IF(OR(ISNUMBER(SEARCH({"10.220";"10.221";"10.222";"10.223";"10.224";"10.225";"10.227";"10.229";"185.130.242"},E20))),"SDDC",
IF(OR(ISNUMBER(SEARCH({"10.226";"10.205"},E20))),"Azure OPS and SDDC",
IF(AND(NOT(ISNUMBER(SEARCH({"10.220";"10.221";"10.222";"10.223";"10.224";"10.225";"10.229";"10.226";"10.227";"10.205";"10.205.37";"10.205.38";"10.205.69";"10.205.31";"10.205.28";"10.205.27";"10.229.16";"10.229.17";"10.229.18";"10.229.19";"10.229.20";"10.229.21";"10.229.25";"10.229.26"},E20)))),"SCT SI - OCD",""))))))</f>
        <v/>
      </c>
      <c r="V20" s="127" t="str" cm="1">
        <f t="array" ref="V20">IF(K20="","",IF(OR(ISNUMBER(SEARCH({"10.205.37";"10.205.38";"10.205.69";"10.205.31";"10.205.28";"10.205.27"},K20))),"Platform-Runtime and Azure OPS",
IF(OR(ISNUMBER(SEARCH({"10.229.16";"10.229.17";"10.229.18";"10.229.19";"10.229.20";"10.229.21";"10.229.25";"10.229.26"},K20))),"SDDC",
IF(OR(ISNUMBER(SEARCH({"10.220";"10.221";"10.222";"10.223";"10.224";"10.225";"10.227";"10.229"},K20))),"SDDC",
IF(OR(ISNUMBER(SEARCH({"10.226";"10.205"},K20))),"Azure OPS and SDDC",
IF(AND(NOT(ISNUMBER(SEARCH({"10.220";"10.221";"10.222";"10.223";"10.224";"10.225";"10.229";"10.226";"10.227";"10.205";"10.205.37";"10.205.38";"10.205.69";"10.205.31";"10.205.28";"10.205.27";"10.229.16";"10.229.17";"10.229.18";"10.229.19";"10.229.20";"10.229.21";"10.229.25";"10.229.26"},K20)))),"SCT SI - OCD",""))))))</f>
        <v/>
      </c>
      <c r="W20" s="18"/>
    </row>
    <row r="21" spans="1:23" ht="15.3" x14ac:dyDescent="0.7">
      <c r="A21" s="18"/>
      <c r="B21" s="45">
        <v>23</v>
      </c>
      <c r="C21" s="170"/>
      <c r="D21" s="47"/>
      <c r="E21" s="48"/>
      <c r="F21" s="46"/>
      <c r="G21" s="36"/>
      <c r="H21" s="46"/>
      <c r="I21" s="46"/>
      <c r="J21" s="170"/>
      <c r="K21" s="49"/>
      <c r="L21" s="36"/>
      <c r="M21" s="36"/>
      <c r="N21" s="36"/>
      <c r="O21" s="36"/>
      <c r="P21" s="159"/>
      <c r="Q21" s="40"/>
      <c r="R21" s="41"/>
      <c r="S21" s="42"/>
      <c r="T21" s="50"/>
      <c r="U21" s="131" t="str" cm="1">
        <f t="array" ref="U21">IF(E21="","",IF(OR(ISNUMBER(SEARCH({"10.205.37";"10.205.38";"10.205.69";"10.205.31";"10.205.28";"10.205.27"},E21))),"Platform-Runtime and Azure OPS",
IF(OR(ISNUMBER(SEARCH({"10.229.16";"10.229.17";"10.229.18";"10.229.19";"10.229.20";"10.229.21";"10.229.25";"10.229.26"},E21))),"SDDC",
IF(OR(ISNUMBER(SEARCH({"10.220";"10.221";"10.222";"10.223";"10.224";"10.225";"10.227";"10.229";"185.130.242"},E21))),"SDDC",
IF(OR(ISNUMBER(SEARCH({"10.226";"10.205"},E21))),"Azure OPS and SDDC",
IF(AND(NOT(ISNUMBER(SEARCH({"10.220";"10.221";"10.222";"10.223";"10.224";"10.225";"10.229";"10.226";"10.227";"10.205";"10.205.37";"10.205.38";"10.205.69";"10.205.31";"10.205.28";"10.205.27";"10.229.16";"10.229.17";"10.229.18";"10.229.19";"10.229.20";"10.229.21";"10.229.25";"10.229.26"},E21)))),"SCT SI - OCD",""))))))</f>
        <v/>
      </c>
      <c r="V21" s="127" t="str" cm="1">
        <f t="array" ref="V21">IF(K21="","",IF(OR(ISNUMBER(SEARCH({"10.205.37";"10.205.38";"10.205.69";"10.205.31";"10.205.28";"10.205.27"},K21))),"Platform-Runtime and Azure OPS",
IF(OR(ISNUMBER(SEARCH({"10.229.16";"10.229.17";"10.229.18";"10.229.19";"10.229.20";"10.229.21";"10.229.25";"10.229.26"},K21))),"SDDC",
IF(OR(ISNUMBER(SEARCH({"10.220";"10.221";"10.222";"10.223";"10.224";"10.225";"10.227";"10.229"},K21))),"SDDC",
IF(OR(ISNUMBER(SEARCH({"10.226";"10.205"},K21))),"Azure OPS and SDDC",
IF(AND(NOT(ISNUMBER(SEARCH({"10.220";"10.221";"10.222";"10.223";"10.224";"10.225";"10.229";"10.226";"10.227";"10.205";"10.205.37";"10.205.38";"10.205.69";"10.205.31";"10.205.28";"10.205.27";"10.229.16";"10.229.17";"10.229.18";"10.229.19";"10.229.20";"10.229.21";"10.229.25";"10.229.26"},K21)))),"SCT SI - OCD",""))))))</f>
        <v/>
      </c>
      <c r="W21" s="126"/>
    </row>
    <row r="22" spans="1:23" ht="15.3" x14ac:dyDescent="0.7">
      <c r="A22" s="18"/>
      <c r="B22" s="45">
        <v>24</v>
      </c>
      <c r="C22" s="170"/>
      <c r="D22" s="47"/>
      <c r="E22" s="48"/>
      <c r="F22" s="46"/>
      <c r="G22" s="36"/>
      <c r="H22" s="46"/>
      <c r="I22" s="46"/>
      <c r="J22" s="170"/>
      <c r="K22" s="49"/>
      <c r="L22" s="36"/>
      <c r="M22" s="36"/>
      <c r="N22" s="36"/>
      <c r="O22" s="36"/>
      <c r="P22" s="159"/>
      <c r="Q22" s="40"/>
      <c r="R22" s="41" t="s">
        <v>47</v>
      </c>
      <c r="S22" s="42"/>
      <c r="T22" s="50"/>
      <c r="U22" s="131" t="str" cm="1">
        <f t="array" ref="U22">IF(E22="","",IF(OR(ISNUMBER(SEARCH({"10.205.37";"10.205.38";"10.205.69";"10.205.31";"10.205.28";"10.205.27"},E22))),"Platform-Runtime and Azure OPS",
IF(OR(ISNUMBER(SEARCH({"10.229.16";"10.229.17";"10.229.18";"10.229.19";"10.229.20";"10.229.21";"10.229.25";"10.229.26"},E22))),"SDDC",
IF(OR(ISNUMBER(SEARCH({"10.220";"10.221";"10.222";"10.223";"10.224";"10.225";"10.227";"10.229";"185.130.242"},E22))),"SDDC",
IF(OR(ISNUMBER(SEARCH({"10.226";"10.205"},E22))),"Azure OPS and SDDC",
IF(AND(NOT(ISNUMBER(SEARCH({"10.220";"10.221";"10.222";"10.223";"10.224";"10.225";"10.229";"10.226";"10.227";"10.205";"10.205.37";"10.205.38";"10.205.69";"10.205.31";"10.205.28";"10.205.27";"10.229.16";"10.229.17";"10.229.18";"10.229.19";"10.229.20";"10.229.21";"10.229.25";"10.229.26"},E22)))),"SCT SI - OCD",""))))))</f>
        <v/>
      </c>
      <c r="V22" s="127" t="str" cm="1">
        <f t="array" ref="V22">IF(K22="","",IF(OR(ISNUMBER(SEARCH({"10.205.37";"10.205.38";"10.205.69";"10.205.31";"10.205.28";"10.205.27"},K22))),"Platform-Runtime and Azure OPS",
IF(OR(ISNUMBER(SEARCH({"10.229.16";"10.229.17";"10.229.18";"10.229.19";"10.229.20";"10.229.21";"10.229.25";"10.229.26"},K22))),"SDDC",
IF(OR(ISNUMBER(SEARCH({"10.220";"10.221";"10.222";"10.223";"10.224";"10.225";"10.227";"10.229"},K22))),"SDDC",
IF(OR(ISNUMBER(SEARCH({"10.226";"10.205"},K22))),"Azure OPS and SDDC",
IF(AND(NOT(ISNUMBER(SEARCH({"10.220";"10.221";"10.222";"10.223";"10.224";"10.225";"10.229";"10.226";"10.227";"10.205";"10.205.37";"10.205.38";"10.205.69";"10.205.31";"10.205.28";"10.205.27";"10.229.16";"10.229.17";"10.229.18";"10.229.19";"10.229.20";"10.229.21";"10.229.25";"10.229.26"},K22)))),"SCT SI - OCD",""))))))</f>
        <v/>
      </c>
      <c r="W22" s="126"/>
    </row>
    <row r="23" spans="1:23" ht="15.3" x14ac:dyDescent="0.7">
      <c r="A23" s="18"/>
      <c r="B23" s="45">
        <v>25</v>
      </c>
      <c r="C23" s="170"/>
      <c r="D23" s="47"/>
      <c r="E23" s="48"/>
      <c r="F23" s="46"/>
      <c r="G23" s="36"/>
      <c r="H23" s="46"/>
      <c r="I23" s="46"/>
      <c r="J23" s="170"/>
      <c r="K23" s="49"/>
      <c r="L23" s="36"/>
      <c r="M23" s="36"/>
      <c r="N23" s="36"/>
      <c r="O23" s="36"/>
      <c r="P23" s="159"/>
      <c r="Q23" s="40"/>
      <c r="R23" s="41" t="s">
        <v>47</v>
      </c>
      <c r="S23" s="42"/>
      <c r="T23" s="50"/>
      <c r="U23" s="131" t="str" cm="1">
        <f t="array" ref="U23">IF(E23="","",IF(OR(ISNUMBER(SEARCH({"10.205.37";"10.205.38";"10.205.69";"10.205.31";"10.205.28";"10.205.27"},E23))),"Platform-Runtime and Azure OPS",
IF(OR(ISNUMBER(SEARCH({"10.229.16";"10.229.17";"10.229.18";"10.229.19";"10.229.20";"10.229.21";"10.229.25";"10.229.26"},E23))),"SDDC",
IF(OR(ISNUMBER(SEARCH({"10.220";"10.221";"10.222";"10.223";"10.224";"10.225";"10.227";"10.229";"185.130.242"},E23))),"SDDC",
IF(OR(ISNUMBER(SEARCH({"10.226";"10.205"},E23))),"Azure OPS and SDDC",
IF(AND(NOT(ISNUMBER(SEARCH({"10.220";"10.221";"10.222";"10.223";"10.224";"10.225";"10.229";"10.226";"10.227";"10.205";"10.205.37";"10.205.38";"10.205.69";"10.205.31";"10.205.28";"10.205.27";"10.229.16";"10.229.17";"10.229.18";"10.229.19";"10.229.20";"10.229.21";"10.229.25";"10.229.26"},E23)))),"SCT SI - OCD",""))))))</f>
        <v/>
      </c>
      <c r="V23" s="127" t="str" cm="1">
        <f t="array" ref="V23">IF(K23="","",IF(OR(ISNUMBER(SEARCH({"10.205.37";"10.205.38";"10.205.69";"10.205.31";"10.205.28";"10.205.27"},K23))),"Platform-Runtime and Azure OPS",
IF(OR(ISNUMBER(SEARCH({"10.229.16";"10.229.17";"10.229.18";"10.229.19";"10.229.20";"10.229.21";"10.229.25";"10.229.26"},K23))),"SDDC",
IF(OR(ISNUMBER(SEARCH({"10.220";"10.221";"10.222";"10.223";"10.224";"10.225";"10.227";"10.229"},K23))),"SDDC",
IF(OR(ISNUMBER(SEARCH({"10.226";"10.205"},K23))),"Azure OPS and SDDC",
IF(AND(NOT(ISNUMBER(SEARCH({"10.220";"10.221";"10.222";"10.223";"10.224";"10.225";"10.229";"10.226";"10.227";"10.205";"10.205.37";"10.205.38";"10.205.69";"10.205.31";"10.205.28";"10.205.27";"10.229.16";"10.229.17";"10.229.18";"10.229.19";"10.229.20";"10.229.21";"10.229.25";"10.229.26"},K23)))),"SCT SI - OCD",""))))))</f>
        <v/>
      </c>
      <c r="W23" s="18"/>
    </row>
    <row r="24" spans="1:23" ht="15.3" x14ac:dyDescent="0.7">
      <c r="A24" s="18"/>
      <c r="B24" s="45">
        <v>26</v>
      </c>
      <c r="C24" s="170"/>
      <c r="D24" s="47"/>
      <c r="E24" s="48"/>
      <c r="F24" s="36"/>
      <c r="G24" s="36"/>
      <c r="H24" s="46"/>
      <c r="I24" s="46"/>
      <c r="J24" s="170"/>
      <c r="K24" s="49"/>
      <c r="L24" s="51"/>
      <c r="M24" s="36"/>
      <c r="N24" s="36"/>
      <c r="O24" s="36"/>
      <c r="P24" s="159"/>
      <c r="Q24" s="40"/>
      <c r="R24" s="41" t="s">
        <v>47</v>
      </c>
      <c r="S24" s="42"/>
      <c r="T24" s="50"/>
      <c r="U24" s="131" t="str" cm="1">
        <f t="array" ref="U24">IF(E24="","",IF(OR(ISNUMBER(SEARCH({"10.205.37";"10.205.38";"10.205.69";"10.205.31";"10.205.28";"10.205.27"},E24))),"Platform-Runtime and Azure OPS",
IF(OR(ISNUMBER(SEARCH({"10.229.16";"10.229.17";"10.229.18";"10.229.19";"10.229.20";"10.229.21";"10.229.25";"10.229.26"},E24))),"SDDC",
IF(OR(ISNUMBER(SEARCH({"10.220";"10.221";"10.222";"10.223";"10.224";"10.225";"10.227";"10.229";"185.130.242"},E24))),"SDDC",
IF(OR(ISNUMBER(SEARCH({"10.226";"10.205"},E24))),"Azure OPS and SDDC",
IF(AND(NOT(ISNUMBER(SEARCH({"10.220";"10.221";"10.222";"10.223";"10.224";"10.225";"10.229";"10.226";"10.227";"10.205";"10.205.37";"10.205.38";"10.205.69";"10.205.31";"10.205.28";"10.205.27";"10.229.16";"10.229.17";"10.229.18";"10.229.19";"10.229.20";"10.229.21";"10.229.25";"10.229.26"},E24)))),"SCT SI - OCD",""))))))</f>
        <v/>
      </c>
      <c r="V24" s="127" t="str" cm="1">
        <f t="array" ref="V24">IF(K24="","",IF(OR(ISNUMBER(SEARCH({"10.205.37";"10.205.38";"10.205.69";"10.205.31";"10.205.28";"10.205.27"},K24))),"Platform-Runtime and Azure OPS",
IF(OR(ISNUMBER(SEARCH({"10.229.16";"10.229.17";"10.229.18";"10.229.19";"10.229.20";"10.229.21";"10.229.25";"10.229.26"},K24))),"SDDC",
IF(OR(ISNUMBER(SEARCH({"10.220";"10.221";"10.222";"10.223";"10.224";"10.225";"10.227";"10.229"},K24))),"SDDC",
IF(OR(ISNUMBER(SEARCH({"10.226";"10.205"},K24))),"Azure OPS and SDDC",
IF(AND(NOT(ISNUMBER(SEARCH({"10.220";"10.221";"10.222";"10.223";"10.224";"10.225";"10.229";"10.226";"10.227";"10.205";"10.205.37";"10.205.38";"10.205.69";"10.205.31";"10.205.28";"10.205.27";"10.229.16";"10.229.17";"10.229.18";"10.229.19";"10.229.20";"10.229.21";"10.229.25";"10.229.26"},K24)))),"SCT SI - OCD",""))))))</f>
        <v/>
      </c>
      <c r="W24" s="18"/>
    </row>
    <row r="25" spans="1:23" ht="15.3" x14ac:dyDescent="0.7">
      <c r="A25" s="18"/>
      <c r="B25" s="45">
        <v>27</v>
      </c>
      <c r="C25" s="170"/>
      <c r="D25" s="47"/>
      <c r="E25" s="48"/>
      <c r="F25" s="46"/>
      <c r="G25" s="36"/>
      <c r="H25" s="46"/>
      <c r="I25" s="46"/>
      <c r="J25" s="170"/>
      <c r="K25" s="49"/>
      <c r="L25" s="36"/>
      <c r="M25" s="36"/>
      <c r="N25" s="36"/>
      <c r="O25" s="36"/>
      <c r="P25" s="159"/>
      <c r="Q25" s="40"/>
      <c r="R25" s="41" t="s">
        <v>47</v>
      </c>
      <c r="S25" s="42"/>
      <c r="T25" s="50"/>
      <c r="U25" s="131" t="str" cm="1">
        <f t="array" ref="U25">IF(E25="","",IF(OR(ISNUMBER(SEARCH({"10.205.37";"10.205.38";"10.205.69";"10.205.31";"10.205.28";"10.205.27"},E25))),"Platform-Runtime and Azure OPS",
IF(OR(ISNUMBER(SEARCH({"10.229.16";"10.229.17";"10.229.18";"10.229.19";"10.229.20";"10.229.21";"10.229.25";"10.229.26"},E25))),"SDDC",
IF(OR(ISNUMBER(SEARCH({"10.220";"10.221";"10.222";"10.223";"10.224";"10.225";"10.227";"10.229";"185.130.242"},E25))),"SDDC",
IF(OR(ISNUMBER(SEARCH({"10.226";"10.205"},E25))),"Azure OPS and SDDC",
IF(AND(NOT(ISNUMBER(SEARCH({"10.220";"10.221";"10.222";"10.223";"10.224";"10.225";"10.229";"10.226";"10.227";"10.205";"10.205.37";"10.205.38";"10.205.69";"10.205.31";"10.205.28";"10.205.27";"10.229.16";"10.229.17";"10.229.18";"10.229.19";"10.229.20";"10.229.21";"10.229.25";"10.229.26"},E25)))),"SCT SI - OCD",""))))))</f>
        <v/>
      </c>
      <c r="V25" s="127" t="str" cm="1">
        <f t="array" ref="V25">IF(K25="","",IF(OR(ISNUMBER(SEARCH({"10.205.37";"10.205.38";"10.205.69";"10.205.31";"10.205.28";"10.205.27"},K25))),"Platform-Runtime and Azure OPS",
IF(OR(ISNUMBER(SEARCH({"10.229.16";"10.229.17";"10.229.18";"10.229.19";"10.229.20";"10.229.21";"10.229.25";"10.229.26"},K25))),"SDDC",
IF(OR(ISNUMBER(SEARCH({"10.220";"10.221";"10.222";"10.223";"10.224";"10.225";"10.227";"10.229"},K25))),"SDDC",
IF(OR(ISNUMBER(SEARCH({"10.226";"10.205"},K25))),"Azure OPS and SDDC",
IF(AND(NOT(ISNUMBER(SEARCH({"10.220";"10.221";"10.222";"10.223";"10.224";"10.225";"10.229";"10.226";"10.227";"10.205";"10.205.37";"10.205.38";"10.205.69";"10.205.31";"10.205.28";"10.205.27";"10.229.16";"10.229.17";"10.229.18";"10.229.19";"10.229.20";"10.229.21";"10.229.25";"10.229.26"},K25)))),"SCT SI - OCD",""))))))</f>
        <v/>
      </c>
      <c r="W25" s="126"/>
    </row>
    <row r="26" spans="1:23" ht="15.3" x14ac:dyDescent="0.7">
      <c r="A26" s="18"/>
      <c r="B26" s="45">
        <v>28</v>
      </c>
      <c r="C26" s="170"/>
      <c r="D26" s="47"/>
      <c r="E26" s="48"/>
      <c r="F26" s="46"/>
      <c r="G26" s="36"/>
      <c r="H26" s="46"/>
      <c r="I26" s="46"/>
      <c r="J26" s="170"/>
      <c r="K26" s="49"/>
      <c r="L26" s="36"/>
      <c r="M26" s="36"/>
      <c r="N26" s="36"/>
      <c r="O26" s="36"/>
      <c r="P26" s="159"/>
      <c r="Q26" s="40"/>
      <c r="R26" s="41" t="s">
        <v>47</v>
      </c>
      <c r="S26" s="42"/>
      <c r="T26" s="50"/>
      <c r="U26" s="131" t="str" cm="1">
        <f t="array" ref="U26">IF(E26="","",IF(OR(ISNUMBER(SEARCH({"10.205.37";"10.205.38";"10.205.69";"10.205.31";"10.205.28";"10.205.27"},E26))),"Platform-Runtime and Azure OPS",
IF(OR(ISNUMBER(SEARCH({"10.229.16";"10.229.17";"10.229.18";"10.229.19";"10.229.20";"10.229.21";"10.229.25";"10.229.26"},E26))),"SDDC",
IF(OR(ISNUMBER(SEARCH({"10.220";"10.221";"10.222";"10.223";"10.224";"10.225";"10.227";"10.229";"185.130.242"},E26))),"SDDC",
IF(OR(ISNUMBER(SEARCH({"10.226";"10.205"},E26))),"Azure OPS and SDDC",
IF(AND(NOT(ISNUMBER(SEARCH({"10.220";"10.221";"10.222";"10.223";"10.224";"10.225";"10.229";"10.226";"10.227";"10.205";"10.205.37";"10.205.38";"10.205.69";"10.205.31";"10.205.28";"10.205.27";"10.229.16";"10.229.17";"10.229.18";"10.229.19";"10.229.20";"10.229.21";"10.229.25";"10.229.26"},E26)))),"SCT SI - OCD",""))))))</f>
        <v/>
      </c>
      <c r="V26" s="127" t="str" cm="1">
        <f t="array" ref="V26">IF(K26="","",IF(OR(ISNUMBER(SEARCH({"10.205.37";"10.205.38";"10.205.69";"10.205.31";"10.205.28";"10.205.27"},K26))),"Platform-Runtime and Azure OPS",
IF(OR(ISNUMBER(SEARCH({"10.229.16";"10.229.17";"10.229.18";"10.229.19";"10.229.20";"10.229.21";"10.229.25";"10.229.26"},K26))),"SDDC",
IF(OR(ISNUMBER(SEARCH({"10.220";"10.221";"10.222";"10.223";"10.224";"10.225";"10.227";"10.229"},K26))),"SDDC",
IF(OR(ISNUMBER(SEARCH({"10.226";"10.205"},K26))),"Azure OPS and SDDC",
IF(AND(NOT(ISNUMBER(SEARCH({"10.220";"10.221";"10.222";"10.223";"10.224";"10.225";"10.229";"10.226";"10.227";"10.205";"10.205.37";"10.205.38";"10.205.69";"10.205.31";"10.205.28";"10.205.27";"10.229.16";"10.229.17";"10.229.18";"10.229.19";"10.229.20";"10.229.21";"10.229.25";"10.229.26"},K26)))),"SCT SI - OCD",""))))))</f>
        <v/>
      </c>
      <c r="W26" s="18"/>
    </row>
    <row r="27" spans="1:23" ht="15.3" x14ac:dyDescent="0.7">
      <c r="A27" s="18"/>
      <c r="B27" s="45">
        <v>29</v>
      </c>
      <c r="C27" s="170"/>
      <c r="D27" s="47"/>
      <c r="E27" s="48"/>
      <c r="F27" s="46"/>
      <c r="G27" s="36"/>
      <c r="H27" s="46"/>
      <c r="I27" s="46"/>
      <c r="J27" s="170"/>
      <c r="K27" s="49"/>
      <c r="L27" s="36"/>
      <c r="M27" s="36"/>
      <c r="N27" s="36"/>
      <c r="O27" s="36"/>
      <c r="P27" s="159"/>
      <c r="Q27" s="40"/>
      <c r="R27" s="41" t="s">
        <v>47</v>
      </c>
      <c r="S27" s="42"/>
      <c r="T27" s="50"/>
      <c r="U27" s="131" t="str" cm="1">
        <f t="array" ref="U27">IF(E27="","",IF(OR(ISNUMBER(SEARCH({"10.205.37";"10.205.38";"10.205.69";"10.205.31";"10.205.28";"10.205.27"},E27))),"Platform-Runtime and Azure OPS",
IF(OR(ISNUMBER(SEARCH({"10.229.16";"10.229.17";"10.229.18";"10.229.19";"10.229.20";"10.229.21";"10.229.25";"10.229.26"},E27))),"SDDC",
IF(OR(ISNUMBER(SEARCH({"10.220";"10.221";"10.222";"10.223";"10.224";"10.225";"10.227";"10.229";"185.130.242"},E27))),"SDDC",
IF(OR(ISNUMBER(SEARCH({"10.226";"10.205"},E27))),"Azure OPS and SDDC",
IF(AND(NOT(ISNUMBER(SEARCH({"10.220";"10.221";"10.222";"10.223";"10.224";"10.225";"10.229";"10.226";"10.227";"10.205";"10.205.37";"10.205.38";"10.205.69";"10.205.31";"10.205.28";"10.205.27";"10.229.16";"10.229.17";"10.229.18";"10.229.19";"10.229.20";"10.229.21";"10.229.25";"10.229.26"},E27)))),"SCT SI - OCD",""))))))</f>
        <v/>
      </c>
      <c r="V27" s="127" t="str" cm="1">
        <f t="array" ref="V27">IF(K27="","",IF(OR(ISNUMBER(SEARCH({"10.205.37";"10.205.38";"10.205.69";"10.205.31";"10.205.28";"10.205.27"},K27))),"Platform-Runtime and Azure OPS",
IF(OR(ISNUMBER(SEARCH({"10.229.16";"10.229.17";"10.229.18";"10.229.19";"10.229.20";"10.229.21";"10.229.25";"10.229.26"},K27))),"SDDC",
IF(OR(ISNUMBER(SEARCH({"10.220";"10.221";"10.222";"10.223";"10.224";"10.225";"10.227";"10.229"},K27))),"SDDC",
IF(OR(ISNUMBER(SEARCH({"10.226";"10.205"},K27))),"Azure OPS and SDDC",
IF(AND(NOT(ISNUMBER(SEARCH({"10.220";"10.221";"10.222";"10.223";"10.224";"10.225";"10.229";"10.226";"10.227";"10.205";"10.205.37";"10.205.38";"10.205.69";"10.205.31";"10.205.28";"10.205.27";"10.229.16";"10.229.17";"10.229.18";"10.229.19";"10.229.20";"10.229.21";"10.229.25";"10.229.26"},K27)))),"SCT SI - OCD",""))))))</f>
        <v/>
      </c>
      <c r="W27" s="126"/>
    </row>
    <row r="28" spans="1:23" ht="15.6" thickBot="1" x14ac:dyDescent="0.75">
      <c r="A28" s="18"/>
      <c r="B28" s="52">
        <v>30</v>
      </c>
      <c r="C28" s="160"/>
      <c r="D28" s="54"/>
      <c r="E28" s="55"/>
      <c r="F28" s="53"/>
      <c r="G28" s="56"/>
      <c r="H28" s="53"/>
      <c r="I28" s="53"/>
      <c r="J28" s="160"/>
      <c r="K28" s="55"/>
      <c r="L28" s="56"/>
      <c r="M28" s="56"/>
      <c r="N28" s="53"/>
      <c r="O28" s="53"/>
      <c r="P28" s="160"/>
      <c r="Q28" s="53"/>
      <c r="R28" s="57" t="s">
        <v>47</v>
      </c>
      <c r="S28" s="42"/>
      <c r="T28" s="50"/>
      <c r="U28" s="132" t="str" cm="1">
        <f t="array" ref="U28">IF(E28="","",IF(OR(ISNUMBER(SEARCH({"10.205.37";"10.205.38";"10.205.69";"10.205.31";"10.205.28";"10.205.27"},E28))),"Platform-Runtime and Azure OPS",
IF(OR(ISNUMBER(SEARCH({"10.229.16";"10.229.17";"10.229.18";"10.229.19";"10.229.20";"10.229.21";"10.229.25";"10.229.26"},E28))),"SDDC",
IF(OR(ISNUMBER(SEARCH({"10.220";"10.221";"10.222";"10.223";"10.224";"10.225";"10.227";"10.229";"185.130.242"},E28))),"SDDC",
IF(OR(ISNUMBER(SEARCH({"10.226";"10.205"},E28))),"Azure OPS and SDDC",
IF(AND(NOT(ISNUMBER(SEARCH({"10.220";"10.221";"10.222";"10.223";"10.224";"10.225";"10.229";"10.226";"10.227";"10.205";"10.205.37";"10.205.38";"10.205.69";"10.205.31";"10.205.28";"10.205.27";"10.229.16";"10.229.17";"10.229.18";"10.229.19";"10.229.20";"10.229.21";"10.229.25";"10.229.26"},E28)))),"SCT SI - OCD",""))))))</f>
        <v/>
      </c>
      <c r="V28" s="128" t="str" cm="1">
        <f t="array" ref="V28">IF(K28="","",IF(OR(ISNUMBER(SEARCH({"10.205.37";"10.205.38";"10.205.69";"10.205.31";"10.205.28";"10.205.27"},K28))),"Platform-Runtime and Azure OPS",
IF(OR(ISNUMBER(SEARCH({"10.229.16";"10.229.17";"10.229.18";"10.229.19";"10.229.20";"10.229.21";"10.229.25";"10.229.26"},K28))),"SDDC",
IF(OR(ISNUMBER(SEARCH({"10.220";"10.221";"10.222";"10.223";"10.224";"10.225";"10.227";"10.229"},K28))),"SDDC",
IF(OR(ISNUMBER(SEARCH({"10.226";"10.205"},K28))),"Azure OPS and SDDC",
IF(AND(NOT(ISNUMBER(SEARCH({"10.220";"10.221";"10.222";"10.223";"10.224";"10.225";"10.229";"10.226";"10.227";"10.205";"10.205.37";"10.205.38";"10.205.69";"10.205.31";"10.205.28";"10.205.27";"10.229.16";"10.229.17";"10.229.18";"10.229.19";"10.229.20";"10.229.21";"10.229.25";"10.229.26"},K28)))),"SCT SI - OCD",""))))))</f>
        <v/>
      </c>
      <c r="W28" s="18"/>
    </row>
    <row r="29" spans="1:23" ht="15.3" x14ac:dyDescent="0.7">
      <c r="A29" s="18"/>
      <c r="B29" s="18"/>
      <c r="C29" s="18"/>
      <c r="D29" s="18"/>
      <c r="E29" s="18"/>
      <c r="F29" s="18"/>
      <c r="G29" s="18"/>
      <c r="H29" s="18"/>
      <c r="I29" s="18"/>
      <c r="J29" s="18"/>
      <c r="K29" s="18"/>
      <c r="L29" s="18"/>
      <c r="M29" s="18"/>
      <c r="N29" s="18"/>
      <c r="O29" s="18"/>
      <c r="P29" s="18"/>
      <c r="Q29" s="18"/>
      <c r="R29" s="18"/>
      <c r="S29" s="18"/>
      <c r="T29" s="18"/>
      <c r="U29" s="18"/>
      <c r="V29" s="18"/>
      <c r="W29" s="18"/>
    </row>
    <row r="30" spans="1:23" ht="15.6" thickBot="1" x14ac:dyDescent="0.75">
      <c r="A30" s="18"/>
      <c r="B30" s="58"/>
      <c r="C30" s="18"/>
      <c r="D30" s="58"/>
      <c r="E30" s="58"/>
      <c r="F30" s="58"/>
      <c r="G30" s="18"/>
      <c r="H30" s="18"/>
      <c r="I30" s="18"/>
      <c r="J30" s="18"/>
      <c r="K30" s="18"/>
      <c r="L30" s="18"/>
      <c r="M30" s="18"/>
      <c r="N30" s="18"/>
      <c r="O30" s="18"/>
      <c r="P30" s="18"/>
      <c r="Q30" s="18"/>
      <c r="R30" s="18"/>
      <c r="S30" s="18"/>
      <c r="T30" s="18"/>
      <c r="U30" s="18"/>
      <c r="V30" s="18"/>
      <c r="W30" s="18"/>
    </row>
    <row r="31" spans="1:23" ht="16.5" x14ac:dyDescent="0.7">
      <c r="A31" s="18"/>
      <c r="B31" s="153" t="s">
        <v>114</v>
      </c>
      <c r="C31" s="156"/>
      <c r="D31" s="154"/>
      <c r="E31" s="154"/>
      <c r="F31" s="154"/>
      <c r="G31" s="59"/>
      <c r="H31" s="59"/>
      <c r="I31" s="59"/>
      <c r="J31" s="59"/>
      <c r="K31" s="60"/>
      <c r="L31" s="60"/>
      <c r="M31" s="135"/>
      <c r="N31" s="18"/>
      <c r="O31" s="18"/>
      <c r="P31" s="18"/>
      <c r="Q31" s="18"/>
      <c r="R31" s="18"/>
      <c r="S31" s="18"/>
      <c r="T31" s="18"/>
      <c r="U31" s="18"/>
      <c r="V31" s="18"/>
      <c r="W31" s="18"/>
    </row>
    <row r="32" spans="1:23" ht="15" customHeight="1" x14ac:dyDescent="0.7">
      <c r="A32" s="18"/>
      <c r="B32" s="202"/>
      <c r="C32" s="203"/>
      <c r="D32" s="203"/>
      <c r="E32" s="203"/>
      <c r="F32" s="203"/>
      <c r="G32" s="61"/>
      <c r="H32" s="61"/>
      <c r="I32" s="61"/>
      <c r="J32" s="61"/>
      <c r="K32" s="61"/>
      <c r="L32" s="61"/>
      <c r="M32" s="62"/>
      <c r="N32" s="18"/>
      <c r="O32" s="18"/>
      <c r="P32" s="18"/>
      <c r="Q32" s="18"/>
      <c r="R32" s="18"/>
      <c r="S32" s="18"/>
      <c r="T32" s="18"/>
      <c r="U32" s="18"/>
      <c r="V32" s="18"/>
      <c r="W32" s="18"/>
    </row>
    <row r="33" spans="1:23" ht="16.5" x14ac:dyDescent="0.75">
      <c r="A33" s="18"/>
      <c r="B33" s="202"/>
      <c r="C33" s="203"/>
      <c r="D33" s="203"/>
      <c r="E33" s="203"/>
      <c r="F33" s="203"/>
      <c r="G33" s="61"/>
      <c r="H33" s="61"/>
      <c r="I33" s="61"/>
      <c r="J33" s="61"/>
      <c r="K33" s="61"/>
      <c r="L33" s="61"/>
      <c r="M33" s="62"/>
      <c r="N33" s="18"/>
      <c r="O33" s="18"/>
      <c r="P33" s="18"/>
      <c r="Q33" s="18"/>
      <c r="R33" s="18"/>
      <c r="S33" s="63"/>
      <c r="T33" s="18"/>
      <c r="U33" s="18"/>
      <c r="V33" s="18"/>
      <c r="W33" s="18"/>
    </row>
    <row r="34" spans="1:23" ht="16.5" customHeight="1" x14ac:dyDescent="0.75">
      <c r="A34" s="18"/>
      <c r="B34" s="202"/>
      <c r="C34" s="203"/>
      <c r="D34" s="203"/>
      <c r="E34" s="203"/>
      <c r="F34" s="203"/>
      <c r="G34" s="61"/>
      <c r="H34" s="61"/>
      <c r="I34" s="61"/>
      <c r="J34" s="61"/>
      <c r="K34" s="61"/>
      <c r="L34" s="61"/>
      <c r="M34" s="62"/>
      <c r="N34" s="18"/>
      <c r="O34" s="18"/>
      <c r="P34" s="18"/>
      <c r="Q34" s="18"/>
      <c r="R34" s="18"/>
      <c r="S34" s="63"/>
      <c r="T34" s="18"/>
      <c r="U34" s="18"/>
      <c r="V34" s="18"/>
      <c r="W34" s="18"/>
    </row>
    <row r="35" spans="1:23" ht="16.5" x14ac:dyDescent="0.75">
      <c r="A35" s="18"/>
      <c r="B35" s="157" t="s">
        <v>115</v>
      </c>
      <c r="C35" s="157"/>
      <c r="D35" s="157"/>
      <c r="E35" s="157"/>
      <c r="F35" s="157"/>
      <c r="G35" s="61"/>
      <c r="H35" s="61"/>
      <c r="I35" s="61"/>
      <c r="J35" s="61"/>
      <c r="K35" s="61"/>
      <c r="L35" s="61"/>
      <c r="M35" s="62"/>
      <c r="N35" s="18"/>
      <c r="O35" s="18"/>
      <c r="P35" s="18"/>
      <c r="Q35" s="18"/>
      <c r="R35" s="18"/>
      <c r="S35" s="63"/>
      <c r="T35" s="18"/>
      <c r="U35" s="18"/>
      <c r="V35" s="18"/>
      <c r="W35" s="18"/>
    </row>
    <row r="36" spans="1:23" ht="16.5" x14ac:dyDescent="0.75">
      <c r="A36" s="18"/>
      <c r="B36" s="200" t="s">
        <v>116</v>
      </c>
      <c r="C36" s="201"/>
      <c r="D36" s="201"/>
      <c r="E36" s="201"/>
      <c r="F36" s="201"/>
      <c r="G36" s="61"/>
      <c r="H36" s="61"/>
      <c r="I36" s="61"/>
      <c r="J36" s="61"/>
      <c r="K36" s="61"/>
      <c r="L36" s="61"/>
      <c r="M36" s="62"/>
      <c r="N36" s="18"/>
      <c r="O36" s="18"/>
      <c r="P36" s="18"/>
      <c r="Q36" s="18"/>
      <c r="R36" s="18"/>
      <c r="S36" s="63"/>
      <c r="T36" s="18"/>
      <c r="U36" s="18"/>
      <c r="V36" s="18"/>
      <c r="W36" s="18"/>
    </row>
    <row r="37" spans="1:23" ht="15.75" customHeight="1" x14ac:dyDescent="0.7">
      <c r="A37" s="18"/>
      <c r="B37" s="200"/>
      <c r="C37" s="201"/>
      <c r="D37" s="201"/>
      <c r="E37" s="201"/>
      <c r="F37" s="201"/>
      <c r="G37" s="61"/>
      <c r="H37" s="61"/>
      <c r="I37" s="61"/>
      <c r="J37" s="61"/>
      <c r="K37" s="61"/>
      <c r="L37" s="61"/>
      <c r="M37" s="62"/>
      <c r="N37" s="18"/>
      <c r="O37" s="18"/>
      <c r="P37" s="18"/>
      <c r="Q37" s="18"/>
      <c r="R37" s="18"/>
      <c r="S37" s="18"/>
      <c r="T37" s="18"/>
      <c r="U37" s="18"/>
      <c r="V37" s="18"/>
      <c r="W37" s="18"/>
    </row>
    <row r="38" spans="1:23" ht="15.3" x14ac:dyDescent="0.7">
      <c r="A38" s="18"/>
      <c r="B38" s="64" t="s">
        <v>283</v>
      </c>
      <c r="C38" s="61"/>
      <c r="D38" s="61"/>
      <c r="E38" s="61"/>
      <c r="F38" s="61"/>
      <c r="G38" s="61"/>
      <c r="H38" s="61"/>
      <c r="I38" s="61"/>
      <c r="J38" s="61"/>
      <c r="K38" s="61"/>
      <c r="L38" s="61"/>
      <c r="M38" s="62"/>
      <c r="N38" s="18"/>
      <c r="O38" s="18"/>
      <c r="P38" s="18"/>
      <c r="Q38" s="18"/>
      <c r="R38" s="18"/>
      <c r="S38" s="18"/>
      <c r="T38" s="18"/>
      <c r="U38" s="18"/>
      <c r="V38" s="18"/>
      <c r="W38" s="18"/>
    </row>
    <row r="39" spans="1:23" ht="15.6" thickBot="1" x14ac:dyDescent="0.75">
      <c r="A39" s="18"/>
      <c r="B39" s="65" t="s">
        <v>284</v>
      </c>
      <c r="C39" s="66"/>
      <c r="D39" s="66"/>
      <c r="E39" s="66"/>
      <c r="F39" s="66"/>
      <c r="G39" s="66"/>
      <c r="H39" s="66"/>
      <c r="I39" s="66"/>
      <c r="J39" s="66"/>
      <c r="K39" s="66"/>
      <c r="L39" s="66"/>
      <c r="M39" s="67"/>
      <c r="N39" s="18"/>
      <c r="O39" s="18"/>
      <c r="P39" s="18"/>
      <c r="Q39" s="18"/>
      <c r="R39" s="18"/>
      <c r="S39" s="18"/>
      <c r="T39" s="18"/>
      <c r="U39" s="18"/>
      <c r="V39" s="18"/>
      <c r="W39" s="18"/>
    </row>
    <row r="40" spans="1:23" ht="15.3" x14ac:dyDescent="0.7">
      <c r="A40" s="18"/>
      <c r="B40" s="18"/>
      <c r="C40" s="18"/>
      <c r="D40" s="18"/>
      <c r="E40" s="18"/>
      <c r="F40" s="18"/>
      <c r="G40" s="18"/>
      <c r="H40" s="18"/>
      <c r="I40" s="18"/>
      <c r="J40" s="18"/>
      <c r="K40" s="18"/>
      <c r="L40" s="18"/>
      <c r="M40" s="18"/>
      <c r="N40" s="18"/>
      <c r="O40" s="18"/>
      <c r="P40" s="18"/>
      <c r="Q40" s="18"/>
      <c r="R40" s="18"/>
      <c r="S40" s="18"/>
      <c r="T40" s="18"/>
      <c r="U40" s="18"/>
      <c r="V40" s="18"/>
      <c r="W40" s="18"/>
    </row>
    <row r="41" spans="1:23" ht="15.3" x14ac:dyDescent="0.7">
      <c r="A41" s="18"/>
      <c r="B41" s="18"/>
      <c r="C41" s="18"/>
      <c r="D41" s="18"/>
      <c r="E41" s="18"/>
      <c r="F41" s="18"/>
      <c r="G41" s="18"/>
      <c r="H41" s="18"/>
      <c r="I41" s="18"/>
      <c r="J41" s="18"/>
      <c r="K41" s="18"/>
      <c r="L41" s="18"/>
      <c r="M41" s="18"/>
      <c r="N41" s="18"/>
      <c r="O41" s="18"/>
      <c r="P41" s="18"/>
      <c r="Q41" s="18"/>
      <c r="R41" s="18"/>
      <c r="S41" s="18"/>
      <c r="T41" s="18"/>
      <c r="U41" s="18"/>
      <c r="V41" s="18"/>
      <c r="W41" s="18"/>
    </row>
    <row r="42" spans="1:23" ht="15.3" x14ac:dyDescent="0.7">
      <c r="A42" s="18"/>
      <c r="B42" s="18"/>
      <c r="C42" s="18"/>
      <c r="D42" s="18"/>
      <c r="E42" s="18"/>
      <c r="F42" s="18"/>
      <c r="G42" s="18"/>
      <c r="H42" s="18"/>
      <c r="I42" s="18"/>
      <c r="J42" s="18"/>
      <c r="K42" s="18"/>
      <c r="L42" s="18"/>
      <c r="M42" s="18"/>
      <c r="N42" s="18"/>
      <c r="O42" s="18"/>
      <c r="P42" s="18"/>
      <c r="Q42" s="18"/>
      <c r="R42" s="18"/>
      <c r="S42" s="18"/>
      <c r="T42" s="18"/>
      <c r="U42" s="18"/>
      <c r="V42" s="18"/>
      <c r="W42" s="18"/>
    </row>
    <row r="43" spans="1:23" ht="15.3" x14ac:dyDescent="0.7">
      <c r="A43" s="18"/>
      <c r="B43" s="18"/>
      <c r="C43" s="18"/>
      <c r="D43" s="18"/>
      <c r="E43" s="18"/>
      <c r="F43" s="18"/>
      <c r="G43" s="18"/>
      <c r="H43" s="18"/>
      <c r="I43" s="18"/>
      <c r="J43" s="18"/>
      <c r="K43" s="18"/>
      <c r="L43" s="18"/>
      <c r="M43" s="18"/>
      <c r="N43" s="18"/>
      <c r="O43" s="18"/>
      <c r="P43" s="18"/>
      <c r="Q43" s="18"/>
      <c r="R43" s="18"/>
      <c r="S43" s="18"/>
      <c r="T43" s="18"/>
      <c r="U43" s="18"/>
      <c r="V43" s="18"/>
      <c r="W43" s="18"/>
    </row>
    <row r="44" spans="1:23" ht="15.3" x14ac:dyDescent="0.7">
      <c r="A44" s="18"/>
      <c r="B44" s="18"/>
      <c r="C44" s="18"/>
      <c r="D44" s="18"/>
      <c r="E44" s="18"/>
      <c r="F44" s="18"/>
      <c r="G44" s="18"/>
      <c r="H44" s="18"/>
      <c r="I44" s="18"/>
      <c r="J44" s="18"/>
      <c r="K44" s="18"/>
      <c r="L44" s="18"/>
      <c r="M44" s="18"/>
      <c r="N44" s="18"/>
      <c r="O44" s="18"/>
      <c r="P44" s="18"/>
      <c r="Q44" s="18"/>
      <c r="R44" s="18"/>
      <c r="S44" s="18"/>
      <c r="T44" s="18"/>
      <c r="U44" s="18"/>
      <c r="V44" s="18"/>
      <c r="W44" s="18"/>
    </row>
    <row r="45" spans="1:23" ht="15.3" x14ac:dyDescent="0.7">
      <c r="A45" s="18"/>
      <c r="B45" s="18"/>
      <c r="C45" s="18"/>
      <c r="D45" s="18"/>
      <c r="E45" s="18"/>
      <c r="F45" s="18"/>
      <c r="G45" s="18"/>
      <c r="H45" s="18"/>
      <c r="I45" s="18"/>
      <c r="J45" s="18"/>
      <c r="K45" s="18"/>
      <c r="L45" s="18"/>
      <c r="M45" s="18"/>
      <c r="N45" s="18"/>
      <c r="O45" s="18"/>
      <c r="P45" s="18"/>
      <c r="Q45" s="18"/>
      <c r="R45" s="18"/>
      <c r="S45" s="18"/>
      <c r="T45" s="18"/>
      <c r="U45" s="18"/>
      <c r="V45" s="18"/>
      <c r="W45" s="18"/>
    </row>
    <row r="46" spans="1:23" ht="15.3" x14ac:dyDescent="0.7">
      <c r="A46" s="18"/>
      <c r="B46" s="18"/>
      <c r="C46" s="18"/>
      <c r="D46" s="18"/>
      <c r="E46" s="18"/>
      <c r="F46" s="18"/>
      <c r="G46" s="18"/>
      <c r="H46" s="18"/>
      <c r="I46" s="18"/>
      <c r="J46" s="18"/>
      <c r="K46" s="18"/>
      <c r="L46" s="18"/>
      <c r="M46" s="18"/>
      <c r="N46" s="18"/>
      <c r="O46" s="18"/>
      <c r="P46" s="18"/>
      <c r="Q46" s="18"/>
      <c r="R46" s="18"/>
      <c r="S46" s="18"/>
      <c r="T46" s="18"/>
      <c r="U46" s="18"/>
      <c r="V46" s="18"/>
      <c r="W46" s="18"/>
    </row>
    <row r="47" spans="1:23" ht="15.3" x14ac:dyDescent="0.7">
      <c r="A47" s="18"/>
      <c r="B47" s="18"/>
      <c r="C47" s="18"/>
      <c r="D47" s="18"/>
      <c r="E47" s="18"/>
      <c r="F47" s="18"/>
      <c r="G47" s="18"/>
      <c r="H47" s="18"/>
      <c r="I47" s="18"/>
      <c r="J47" s="18"/>
      <c r="K47" s="18"/>
      <c r="L47" s="18"/>
      <c r="M47" s="18"/>
      <c r="N47" s="18"/>
      <c r="O47" s="18"/>
      <c r="P47" s="18"/>
      <c r="Q47" s="18"/>
      <c r="R47" s="18"/>
      <c r="S47" s="18"/>
      <c r="T47" s="18"/>
      <c r="U47" s="18"/>
      <c r="V47" s="18"/>
      <c r="W47" s="18"/>
    </row>
    <row r="48" spans="1:23" ht="15.3" x14ac:dyDescent="0.7">
      <c r="A48" s="18"/>
      <c r="B48" s="18"/>
      <c r="C48" s="18"/>
      <c r="D48" s="18"/>
      <c r="E48" s="18"/>
      <c r="F48" s="18"/>
      <c r="G48" s="18"/>
      <c r="H48" s="18"/>
      <c r="I48" s="18"/>
      <c r="J48" s="18"/>
      <c r="K48" s="18"/>
      <c r="L48" s="18"/>
      <c r="M48" s="18"/>
      <c r="N48" s="18"/>
      <c r="O48" s="18"/>
      <c r="P48" s="18"/>
      <c r="Q48" s="18"/>
      <c r="R48" s="18"/>
      <c r="S48" s="18"/>
      <c r="T48" s="18"/>
      <c r="U48" s="18"/>
      <c r="V48" s="18"/>
      <c r="W48" s="18"/>
    </row>
    <row r="49" spans="1:23" ht="15.3" x14ac:dyDescent="0.7">
      <c r="A49" s="18"/>
      <c r="B49" s="18"/>
      <c r="C49" s="18"/>
      <c r="D49" s="18"/>
      <c r="E49" s="18"/>
      <c r="F49" s="18"/>
      <c r="G49" s="18"/>
      <c r="H49" s="18"/>
      <c r="I49" s="18"/>
      <c r="J49" s="18"/>
      <c r="K49" s="18"/>
      <c r="L49" s="18"/>
      <c r="M49" s="18"/>
      <c r="N49" s="18"/>
      <c r="O49" s="18"/>
      <c r="P49" s="18"/>
      <c r="Q49" s="18"/>
      <c r="R49" s="18"/>
      <c r="S49" s="18"/>
      <c r="T49" s="18"/>
      <c r="U49" s="18"/>
      <c r="V49" s="18"/>
      <c r="W49" s="18"/>
    </row>
    <row r="50" spans="1:23" ht="15.3" x14ac:dyDescent="0.7">
      <c r="A50" s="18"/>
      <c r="B50" s="18"/>
      <c r="C50" s="18"/>
      <c r="D50" s="18"/>
      <c r="E50" s="18"/>
      <c r="F50" s="18"/>
      <c r="G50" s="18"/>
      <c r="H50" s="18"/>
      <c r="I50" s="18"/>
      <c r="J50" s="18"/>
      <c r="K50" s="18"/>
      <c r="L50" s="18"/>
      <c r="M50" s="18"/>
      <c r="N50" s="18"/>
      <c r="O50" s="18"/>
      <c r="P50" s="18"/>
      <c r="Q50" s="18"/>
      <c r="R50" s="18"/>
      <c r="S50" s="18"/>
      <c r="T50" s="18"/>
      <c r="U50" s="18"/>
      <c r="V50" s="18"/>
      <c r="W50" s="18"/>
    </row>
    <row r="51" spans="1:23" ht="15.3" x14ac:dyDescent="0.7">
      <c r="A51" s="18"/>
      <c r="B51" s="18"/>
      <c r="C51" s="18"/>
      <c r="D51" s="18"/>
      <c r="E51" s="18"/>
      <c r="F51" s="18"/>
      <c r="G51" s="18"/>
      <c r="H51" s="18"/>
      <c r="I51" s="18"/>
      <c r="J51" s="18"/>
      <c r="K51" s="18"/>
      <c r="L51" s="18"/>
      <c r="M51" s="18"/>
      <c r="N51" s="18"/>
      <c r="O51" s="18"/>
      <c r="P51" s="18"/>
      <c r="Q51" s="18"/>
      <c r="R51" s="18"/>
      <c r="S51" s="18"/>
      <c r="T51" s="18"/>
      <c r="U51" s="18"/>
      <c r="V51" s="18"/>
      <c r="W51" s="18"/>
    </row>
    <row r="52" spans="1:23" ht="15.3" x14ac:dyDescent="0.7">
      <c r="A52" s="18"/>
      <c r="B52" s="18"/>
      <c r="C52" s="18"/>
      <c r="D52" s="18"/>
      <c r="E52" s="18"/>
      <c r="F52" s="18"/>
      <c r="G52" s="18"/>
      <c r="H52" s="18"/>
      <c r="I52" s="18"/>
      <c r="J52" s="18"/>
      <c r="K52" s="18"/>
      <c r="L52" s="18"/>
      <c r="M52" s="18"/>
      <c r="N52" s="18"/>
      <c r="O52" s="18"/>
      <c r="P52" s="18"/>
      <c r="Q52" s="18"/>
      <c r="R52" s="18"/>
      <c r="S52" s="18"/>
      <c r="T52" s="18"/>
      <c r="U52" s="18"/>
      <c r="V52" s="18"/>
      <c r="W52" s="18"/>
    </row>
    <row r="53" spans="1:23" ht="15.3" x14ac:dyDescent="0.7">
      <c r="N53" s="11"/>
      <c r="O53" s="11"/>
      <c r="P53" s="11"/>
      <c r="Q53" s="11"/>
      <c r="R53" s="11"/>
      <c r="S53" s="11"/>
      <c r="T53" s="11"/>
      <c r="U53" s="11"/>
      <c r="V53" s="11"/>
    </row>
    <row r="54" spans="1:23" ht="15.3" x14ac:dyDescent="0.7">
      <c r="N54" s="11"/>
      <c r="O54" s="11"/>
      <c r="P54" s="11"/>
      <c r="Q54" s="11"/>
      <c r="R54" s="11"/>
      <c r="S54" s="11"/>
      <c r="T54" s="11"/>
      <c r="U54" s="11"/>
      <c r="V54" s="11"/>
    </row>
    <row r="55" spans="1:23" ht="15.3" x14ac:dyDescent="0.7">
      <c r="N55" s="11"/>
      <c r="O55" s="11"/>
      <c r="P55" s="11"/>
      <c r="Q55" s="11"/>
      <c r="R55" s="11"/>
      <c r="S55" s="11"/>
      <c r="T55" s="11"/>
      <c r="U55" s="11"/>
      <c r="V55" s="11"/>
    </row>
    <row r="56" spans="1:23" ht="15.3" x14ac:dyDescent="0.7">
      <c r="N56" s="11"/>
      <c r="O56" s="11"/>
      <c r="P56" s="11"/>
      <c r="Q56" s="11"/>
      <c r="R56" s="11"/>
      <c r="S56" s="11"/>
      <c r="T56" s="11"/>
      <c r="U56" s="11"/>
      <c r="V56" s="11"/>
    </row>
    <row r="57" spans="1:23" ht="15.3" x14ac:dyDescent="0.7">
      <c r="N57" s="11"/>
      <c r="O57" s="11"/>
      <c r="P57" s="11"/>
      <c r="Q57" s="11"/>
      <c r="R57" s="11"/>
      <c r="S57" s="11"/>
      <c r="T57" s="11"/>
      <c r="U57" s="11"/>
      <c r="V57" s="11"/>
    </row>
    <row r="58" spans="1:23" ht="15.3" x14ac:dyDescent="0.7">
      <c r="N58" s="11"/>
      <c r="O58" s="11"/>
      <c r="P58" s="11"/>
      <c r="Q58" s="11"/>
      <c r="R58" s="11"/>
      <c r="S58" s="11"/>
      <c r="T58" s="11"/>
      <c r="U58" s="11"/>
      <c r="V58" s="11"/>
    </row>
    <row r="59" spans="1:23" ht="15.3" x14ac:dyDescent="0.7">
      <c r="N59" s="11"/>
      <c r="O59" s="11"/>
      <c r="P59" s="11"/>
      <c r="Q59" s="11"/>
      <c r="R59" s="11"/>
      <c r="S59" s="11"/>
      <c r="T59" s="11"/>
      <c r="U59" s="11"/>
      <c r="V59" s="11"/>
    </row>
    <row r="60" spans="1:23" ht="15.3" x14ac:dyDescent="0.7">
      <c r="N60" s="11"/>
      <c r="O60" s="11"/>
      <c r="P60" s="11"/>
      <c r="Q60" s="11"/>
      <c r="R60" s="11"/>
      <c r="S60" s="11"/>
      <c r="T60" s="11"/>
      <c r="U60" s="11"/>
      <c r="V60" s="11"/>
    </row>
    <row r="61" spans="1:23" ht="15.3" x14ac:dyDescent="0.7">
      <c r="N61" s="11"/>
      <c r="O61" s="11"/>
      <c r="P61" s="11"/>
      <c r="Q61" s="11"/>
      <c r="R61" s="11"/>
      <c r="S61" s="11"/>
      <c r="T61" s="11"/>
      <c r="U61" s="11"/>
      <c r="V61" s="11"/>
    </row>
    <row r="62" spans="1:23" ht="15.3" x14ac:dyDescent="0.7">
      <c r="N62" s="11"/>
      <c r="O62" s="11"/>
      <c r="P62" s="11"/>
      <c r="Q62" s="11"/>
      <c r="R62" s="11"/>
      <c r="S62" s="11"/>
      <c r="T62" s="11"/>
      <c r="U62" s="11"/>
      <c r="V62" s="11"/>
    </row>
    <row r="63" spans="1:23" ht="15.3" x14ac:dyDescent="0.7">
      <c r="N63" s="11"/>
      <c r="O63" s="11"/>
      <c r="P63" s="11"/>
      <c r="Q63" s="11"/>
      <c r="R63" s="11"/>
      <c r="S63" s="11"/>
      <c r="T63" s="11"/>
      <c r="U63" s="11"/>
      <c r="V63" s="11"/>
    </row>
    <row r="64" spans="1:23" ht="15.3" x14ac:dyDescent="0.7">
      <c r="N64" s="11"/>
      <c r="O64" s="11"/>
      <c r="P64" s="11"/>
      <c r="Q64" s="11"/>
      <c r="R64" s="11"/>
      <c r="S64" s="11"/>
      <c r="T64" s="11"/>
      <c r="U64" s="11"/>
      <c r="V64" s="11"/>
    </row>
    <row r="65" s="11" customFormat="1" ht="15.3" x14ac:dyDescent="0.7"/>
    <row r="66" s="11" customFormat="1" ht="15.3" x14ac:dyDescent="0.7"/>
    <row r="67" s="11" customFormat="1" ht="15.3" x14ac:dyDescent="0.7"/>
    <row r="68" s="11" customFormat="1" ht="15.3" x14ac:dyDescent="0.7"/>
    <row r="69" s="11" customFormat="1" ht="15.3" x14ac:dyDescent="0.7"/>
    <row r="70" s="11" customFormat="1" ht="15.3" x14ac:dyDescent="0.7"/>
    <row r="71" s="11" customFormat="1" ht="15.3" x14ac:dyDescent="0.7"/>
    <row r="72" s="11" customFormat="1" ht="15.3" x14ac:dyDescent="0.7"/>
    <row r="73" s="11" customFormat="1" ht="15.3" x14ac:dyDescent="0.7"/>
    <row r="74" s="11" customFormat="1" ht="15.3" x14ac:dyDescent="0.7"/>
    <row r="75" s="11" customFormat="1" ht="15.3" x14ac:dyDescent="0.7"/>
    <row r="76" s="11" customFormat="1" ht="15.3" x14ac:dyDescent="0.7"/>
    <row r="77" s="11" customFormat="1" ht="15.3" x14ac:dyDescent="0.7"/>
    <row r="78" s="11" customFormat="1" ht="15.3" x14ac:dyDescent="0.7"/>
    <row r="79" s="11" customFormat="1" ht="15.3" x14ac:dyDescent="0.7"/>
    <row r="80" s="11" customFormat="1" ht="15.3" x14ac:dyDescent="0.7"/>
    <row r="81" s="11" customFormat="1" ht="15.3" x14ac:dyDescent="0.7"/>
    <row r="82" s="11" customFormat="1" ht="15.3" x14ac:dyDescent="0.7"/>
    <row r="83" s="11" customFormat="1" ht="15.3" x14ac:dyDescent="0.7"/>
    <row r="84" s="11" customFormat="1" ht="15.3" x14ac:dyDescent="0.7"/>
    <row r="85" s="11" customFormat="1" ht="15.3" x14ac:dyDescent="0.7"/>
    <row r="86" s="11" customFormat="1" ht="15.3" x14ac:dyDescent="0.7"/>
    <row r="87" s="11" customFormat="1" ht="15.3" x14ac:dyDescent="0.7"/>
    <row r="88" s="11" customFormat="1" ht="15.3" x14ac:dyDescent="0.7"/>
    <row r="89" s="11" customFormat="1" ht="15.3" x14ac:dyDescent="0.7"/>
    <row r="90" s="11" customFormat="1" ht="15.3" x14ac:dyDescent="0.7"/>
    <row r="91" s="11" customFormat="1" ht="15.3" x14ac:dyDescent="0.7"/>
    <row r="92" s="11" customFormat="1" ht="15.3" x14ac:dyDescent="0.7"/>
    <row r="93" s="11" customFormat="1" ht="15.3" x14ac:dyDescent="0.7"/>
    <row r="94" s="11" customFormat="1" ht="15.3" x14ac:dyDescent="0.7"/>
    <row r="95" s="11" customFormat="1" ht="15.3" x14ac:dyDescent="0.7"/>
    <row r="96" s="11" customFormat="1" ht="15.3" x14ac:dyDescent="0.7"/>
    <row r="97" spans="14:22" ht="15.3" x14ac:dyDescent="0.7">
      <c r="N97" s="11"/>
      <c r="O97" s="11"/>
      <c r="P97" s="11"/>
      <c r="Q97" s="11"/>
      <c r="R97" s="11"/>
      <c r="S97" s="11"/>
      <c r="T97" s="11"/>
      <c r="U97" s="11"/>
      <c r="V97" s="11"/>
    </row>
    <row r="98" spans="14:22" ht="15.3" x14ac:dyDescent="0.7">
      <c r="N98" s="11"/>
      <c r="O98" s="11"/>
      <c r="P98" s="11"/>
      <c r="Q98" s="11"/>
      <c r="R98" s="11"/>
      <c r="S98" s="11"/>
      <c r="T98" s="11"/>
      <c r="U98" s="11"/>
      <c r="V98" s="11"/>
    </row>
    <row r="99" spans="14:22" ht="15.3" x14ac:dyDescent="0.7">
      <c r="N99" s="11"/>
      <c r="O99" s="11"/>
      <c r="P99" s="11"/>
      <c r="Q99" s="11"/>
      <c r="R99" s="11"/>
      <c r="S99" s="11"/>
      <c r="T99" s="11"/>
      <c r="U99" s="11"/>
      <c r="V99" s="11"/>
    </row>
    <row r="100" spans="14:22" ht="15.3" x14ac:dyDescent="0.7">
      <c r="N100" s="11"/>
      <c r="O100" s="11"/>
      <c r="P100" s="11"/>
      <c r="Q100" s="11"/>
      <c r="R100" s="11"/>
      <c r="S100" s="11"/>
      <c r="T100" s="11"/>
      <c r="U100" s="11"/>
      <c r="V100" s="11"/>
    </row>
    <row r="101" spans="14:22" ht="15.3" x14ac:dyDescent="0.7">
      <c r="N101" s="11"/>
      <c r="O101" s="11"/>
      <c r="P101" s="11"/>
      <c r="Q101" s="11"/>
      <c r="R101" s="11"/>
      <c r="S101" s="11"/>
      <c r="T101" s="11"/>
      <c r="U101" s="11"/>
      <c r="V101" s="11"/>
    </row>
    <row r="102" spans="14:22" ht="15.3" x14ac:dyDescent="0.7"/>
    <row r="103" spans="14:22" ht="15.3" x14ac:dyDescent="0.7"/>
    <row r="104" spans="14:22" ht="15.3" x14ac:dyDescent="0.7"/>
    <row r="105" spans="14:22" ht="15.3" x14ac:dyDescent="0.7"/>
    <row r="106" spans="14:22" ht="15.3" x14ac:dyDescent="0.7"/>
    <row r="107" spans="14:22" ht="15.3" x14ac:dyDescent="0.7"/>
    <row r="108" spans="14:22" ht="15.3" x14ac:dyDescent="0.7"/>
    <row r="109" spans="14:22" ht="15.3" x14ac:dyDescent="0.7"/>
    <row r="110" spans="14:22" ht="15.3" x14ac:dyDescent="0.7"/>
  </sheetData>
  <sheetProtection algorithmName="SHA-512" hashValue="OVQm+8L/74dVFCxSFYnyWSFztXzwWbl2qyKHuwC5VGo7fVKX3Z93nFPnqz+Nn+CPtr0hk8ksgL1ertrF9EMv1A==" saltValue="W7pcSK1pvNCy1ljYRKRDGg==" spinCount="100000" sheet="1" objects="1" scenarios="1"/>
  <mergeCells count="6">
    <mergeCell ref="B36:F37"/>
    <mergeCell ref="I2:I7"/>
    <mergeCell ref="E11:I11"/>
    <mergeCell ref="K11:M11"/>
    <mergeCell ref="U11:V11"/>
    <mergeCell ref="B32:F34"/>
  </mergeCells>
  <conditionalFormatting sqref="A12:D13 A42:C42 A43:B43 C43:C44">
    <cfRule type="expression" dxfId="36" priority="6" stopIfTrue="1">
      <formula>AND(ISNUMBER(VALUE(LEFT(A12, FIND(".", A12)-1))),  ISNUMBER(VALUE(MID(A12, FIND(".", A12)+1, FIND(".", A12, FIND(".", A12)+1)-FIND(".", A12)-1))),  ISNUMBER(VALUE(MID(A12, FIND(".", A12, FIND(".", A12)+1)+1, FIND(".", A12, FIND(".", A12, FIND(".", A12)+1)+1)-FIND(".", A12, FIND(".", A12)+1)-1))),  ISNUMBER(VALUE(RIGHT(A12, LEN(A12)-FIND(".", A12, FIND(".", A12, FIND(".", A12)+1)+1)))),  VALUE(LEFT(A12, FIND(".", A12)-1))&lt;=255,  VALUE(MID(A12, FIND(".", A12)+1, FIND(".", A12, FIND(".", A12)+1)-FIND(".", A12)-1))&lt;=255,  VALUE(MID(A12, FIND(".", A12, FIND(".", A12)+1)+1, FIND(".", A12, FIND(".", A12, FIND(".", A12)+1)+1)-FIND(".", A12, FIND(".", A12)+1)-1))&lt;=255,  VALUE(RIGHT(A12, LEN(A12)-FIND(".", A12, FIND(".", A12, FIND(".", A12)+1)+1)))&lt;=255)</formula>
    </cfRule>
  </conditionalFormatting>
  <conditionalFormatting sqref="B36">
    <cfRule type="expression" dxfId="35" priority="3" stopIfTrue="1">
      <formula>AND(ISNUMBER(VALUE(LEFT(B36, FIND(".", B36)-1))),  ISNUMBER(VALUE(MID(B36, FIND(".", B36)+1, FIND(".", B36, FIND(".", B36)+1)-FIND(".", B36)-1))),  ISNUMBER(VALUE(MID(B36, FIND(".", B36, FIND(".", B36)+1)+1, FIND(".", B36, FIND(".", B36, FIND(".", B36)+1)+1)-FIND(".", B36, FIND(".", B36)+1)-1))),  ISNUMBER(VALUE(RIGHT(B36, LEN(B36)-FIND(".", B36, FIND(".", B36, FIND(".", B36)+1)+1)))),  VALUE(LEFT(B36, FIND(".", B36)-1))&lt;=255,  VALUE(MID(B36, FIND(".", B36)+1, FIND(".", B36, FIND(".", B36)+1)-FIND(".", B36)-1))&lt;=255,  VALUE(MID(B36, FIND(".", B36, FIND(".", B36)+1)+1, FIND(".", B36, FIND(".", B36, FIND(".", B36)+1)+1)-FIND(".", B36, FIND(".", B36)+1)-1))&lt;=255,  VALUE(RIGHT(B36, LEN(B36)-FIND(".", B36, FIND(".", B36, FIND(".", B36)+1)+1)))&lt;=255)</formula>
    </cfRule>
  </conditionalFormatting>
  <conditionalFormatting sqref="B35:F35">
    <cfRule type="expression" dxfId="34" priority="4" stopIfTrue="1">
      <formula>AND(ISNUMBER(VALUE(LEFT(B35, FIND(".", B35)-1))),  ISNUMBER(VALUE(MID(B35, FIND(".", B35)+1, FIND(".", B35, FIND(".", B35)+1)-FIND(".", B35)-1))),  ISNUMBER(VALUE(MID(B35, FIND(".", B35, FIND(".", B35)+1)+1, FIND(".", B35, FIND(".", B35, FIND(".", B35)+1)+1)-FIND(".", B35, FIND(".", B35)+1)-1))),  ISNUMBER(VALUE(RIGHT(B35, LEN(B35)-FIND(".", B35, FIND(".", B35, FIND(".", B35)+1)+1)))),  VALUE(LEFT(B35, FIND(".", B35)-1))&lt;=255,  VALUE(MID(B35, FIND(".", B35)+1, FIND(".", B35, FIND(".", B35)+1)-FIND(".", B35)-1))&lt;=255,  VALUE(MID(B35, FIND(".", B35, FIND(".", B35)+1)+1, FIND(".", B35, FIND(".", B35, FIND(".", B35)+1)+1)-FIND(".", B35, FIND(".", B35)+1)-1))&lt;=255,  VALUE(RIGHT(B35, LEN(B35)-FIND(".", B35, FIND(".", B35, FIND(".", B35)+1)+1)))&lt;=255)</formula>
    </cfRule>
  </conditionalFormatting>
  <conditionalFormatting sqref="C13">
    <cfRule type="expression" dxfId="33" priority="2" stopIfTrue="1">
      <formula>AND(ISNUMBER(VALUE(LEFT(C13, FIND(".", C13)-1))),  ISNUMBER(VALUE(MID(C13, FIND(".", C13)+1, FIND(".", C13, FIND(".", C13)+1)-FIND(".", C13)-1))),  ISNUMBER(VALUE(MID(C13, FIND(".", C13, FIND(".", C13)+1)+1, FIND(".", C13, FIND(".", C13, FIND(".", C13)+1)+1)-FIND(".", C13, FIND(".", C13)+1)-1))),  ISNUMBER(VALUE(RIGHT(C13, LEN(C13)-FIND(".", C13, FIND(".", C13, FIND(".", C13)+1)+1)))),  VALUE(LEFT(C13, FIND(".", C13)-1))&lt;=255,  VALUE(MID(C13, FIND(".", C13)+1, FIND(".", C13, FIND(".", C13)+1)-FIND(".", C13)-1))&lt;=255,  VALUE(MID(C13, FIND(".", C13, FIND(".", C13)+1)+1, FIND(".", C13, FIND(".", C13, FIND(".", C13)+1)+1)-FIND(".", C13, FIND(".", C13)+1)-1))&lt;=255,  VALUE(RIGHT(C13, LEN(C13)-FIND(".", C13, FIND(".", C13, FIND(".", C13)+1)+1)))&lt;=255)</formula>
    </cfRule>
  </conditionalFormatting>
  <conditionalFormatting sqref="D42:XFD43">
    <cfRule type="expression" dxfId="32" priority="1" stopIfTrue="1">
      <formula>AND(ISNUMBER(VALUE(LEFT(D42, FIND(".", D42)-1))),  ISNUMBER(VALUE(MID(D42, FIND(".", D42)+1, FIND(".", D42, FIND(".", D42)+1)-FIND(".", D42)-1))),  ISNUMBER(VALUE(MID(D42, FIND(".", D42, FIND(".", D42)+1)+1, FIND(".", D42, FIND(".", D42, FIND(".", D42)+1)+1)-FIND(".", D42, FIND(".", D42)+1)-1))),  ISNUMBER(VALUE(RIGHT(D42, LEN(D42)-FIND(".", D42, FIND(".", D42, FIND(".", D42)+1)+1)))),  VALUE(LEFT(D42, FIND(".", D42)-1))&lt;=255,  VALUE(MID(D42, FIND(".", D42)+1, FIND(".", D42, FIND(".", D42)+1)-FIND(".", D42)-1))&lt;=255,  VALUE(MID(D42, FIND(".", D42, FIND(".", D42)+1)+1, FIND(".", D42, FIND(".", D42, FIND(".", D42)+1)+1)-FIND(".", D42, FIND(".", D42)+1)-1))&lt;=255,  VALUE(RIGHT(D42, LEN(D42)-FIND(".", D42, FIND(".", D42, FIND(".", D42)+1)+1)))&lt;=255)</formula>
    </cfRule>
  </conditionalFormatting>
  <conditionalFormatting sqref="E13:E28 K13:K28">
    <cfRule type="expression" dxfId="31" priority="12">
      <formula>LEN(E13)&gt;0</formula>
    </cfRule>
  </conditionalFormatting>
  <conditionalFormatting sqref="E12:XFD13 A14:XFD30 A1:XFD1 B2:XFD7 A8:XFD10 B11:E11 K11 N11:U11 W11:XFD11 A31 G31:XFD31 B32 N32:XFD39 A40:XFD41 A44:XFD1048576">
    <cfRule type="expression" dxfId="30" priority="11" stopIfTrue="1">
      <formula>AND(ISNUMBER(VALUE(LEFT(A1, FIND(".", A1)-1))),  ISNUMBER(VALUE(MID(A1, FIND(".", A1)+1, FIND(".", A1, FIND(".", A1)+1)-FIND(".", A1)-1))),  ISNUMBER(VALUE(MID(A1, FIND(".", A1, FIND(".", A1)+1)+1, FIND(".", A1, FIND(".", A1, FIND(".", A1)+1)+1)-FIND(".", A1, FIND(".", A1)+1)-1))),  ISNUMBER(VALUE(RIGHT(A1, LEN(A1)-FIND(".", A1, FIND(".", A1, FIND(".", A1)+1)+1)))),  VALUE(LEFT(A1, FIND(".", A1)-1))&lt;=255,  VALUE(MID(A1, FIND(".", A1)+1, FIND(".", A1, FIND(".", A1)+1)-FIND(".", A1)-1))&lt;=255,  VALUE(MID(A1, FIND(".", A1, FIND(".", A1)+1)+1, FIND(".", A1, FIND(".", A1, FIND(".", A1)+1)+1)-FIND(".", A1, FIND(".", A1)+1)-1))&lt;=255,  VALUE(RIGHT(A1, LEN(A1)-FIND(".", A1, FIND(".", A1, FIND(".", A1)+1)+1)))&lt;=255)</formula>
    </cfRule>
  </conditionalFormatting>
  <conditionalFormatting sqref="U13:V28">
    <cfRule type="cellIs" dxfId="29" priority="5" operator="equal">
      <formula>"Platform-Runtime and Azure OPS"</formula>
    </cfRule>
    <cfRule type="cellIs" dxfId="28" priority="7" operator="equal">
      <formula>"SDDC"</formula>
    </cfRule>
    <cfRule type="cellIs" dxfId="27" priority="8" operator="equal">
      <formula>"Azure OPS"</formula>
    </cfRule>
    <cfRule type="cellIs" dxfId="26" priority="9" operator="equal">
      <formula>"SCT SI - OCD"</formula>
    </cfRule>
    <cfRule type="cellIs" dxfId="25" priority="10" operator="equal">
      <formula>"Azure OPS and SDDC"</formula>
    </cfRule>
  </conditionalFormatting>
  <dataValidations count="24">
    <dataValidation allowBlank="1" showInputMessage="1" showErrorMessage="1" prompt="The CI number of the application that is reached." sqref="J12" xr:uid="{ED883B2D-D45D-4F05-9EEA-885C4DBC2673}"/>
    <dataValidation allowBlank="1" showInputMessage="1" showErrorMessage="1" prompt="Understandable description of this rule." sqref="C12" xr:uid="{C8993F3B-2E35-4784-8C36-36885239CC62}"/>
    <dataValidation type="decimal" errorStyle="warning" allowBlank="1" showErrorMessage="1" errorTitle="Warning" error="Please enter a single Portnumber or Portrange (x-y)." sqref="P13" xr:uid="{5864D03B-D295-4159-A482-C6CA00BD59E8}">
      <formula1>1</formula1>
      <formula2>65535</formula2>
    </dataValidation>
    <dataValidation type="whole" errorStyle="warning" allowBlank="1" showErrorMessage="1" errorTitle="Warning" error="Single Portnumber or Portrange (x-y)." sqref="P14:P28" xr:uid="{A5AAC5AB-2C5E-4BE1-9B39-8C0F51EC7190}">
      <formula1>1</formula1>
      <formula2>65535</formula2>
    </dataValidation>
    <dataValidation allowBlank="1" showInputMessage="1" showErrorMessage="1" prompt="Destination Network Zone (Optional)" sqref="M12" xr:uid="{A554DBBE-F3D5-4DBA-84C8-BBEDDD602DBE}"/>
    <dataValidation allowBlank="1" showInputMessage="1" showErrorMessage="1" prompt="Traffic allow or deny?" sqref="Q12" xr:uid="{72558128-CD0B-4D91-82DA-379007F451DB}"/>
    <dataValidation allowBlank="1" showInputMessage="1" showErrorMessage="1" prompt="Use this textbox below to add additional information (context) to this firewall change request." sqref="B31" xr:uid="{DD476B0E-7B60-4FFC-8DA1-B4242849602F}"/>
    <dataValidation allowBlank="1" showInputMessage="1" showErrorMessage="1" prompt="Used by the Servicedesk team only!" sqref="U11:V11" xr:uid="{BBD50DD8-4760-401A-A735-E64766CFEB09}"/>
    <dataValidation allowBlank="1" showInputMessage="1" showErrorMessage="1" prompt="Click on a cell for more information" sqref="I2:J7" xr:uid="{541DC928-A3A2-45F2-92A0-E0031321C836}"/>
    <dataValidation allowBlank="1" showInputMessage="1" showErrorMessage="1" prompt="Is this rule temporary or persistent?" sqref="R12" xr:uid="{CC831904-A42E-4683-9AD1-FE1429882C56}"/>
    <dataValidation allowBlank="1" showInputMessage="1" showErrorMessage="1" prompt="Destination Network Zone" sqref="N12" xr:uid="{AB1075CD-DC3C-4277-9E9B-B85AB505AC82}"/>
    <dataValidation allowBlank="1" showInputMessage="1" showErrorMessage="1" prompt="Source Network Zone (Optional)" sqref="G12" xr:uid="{8BDF829E-CFA0-4870-960A-65414739EEF0}"/>
    <dataValidation allowBlank="1" showInputMessage="1" showErrorMessage="1" prompt="The destination IP-address(es) of this connection." sqref="K12" xr:uid="{DC59FB83-1B82-459C-8F12-3CED51C8BFCB}"/>
    <dataValidation allowBlank="1" showInputMessage="1" showErrorMessage="1" prompt="The Source IP-address(es) that initiates the connection." sqref="E12" xr:uid="{480EF450-DC81-4D2E-B60A-89517B975DA6}"/>
    <dataValidation allowBlank="1" showInputMessage="1" showErrorMessage="1" prompt="Transport protocol: TCP or UDP" sqref="O12" xr:uid="{E0CF1C47-7B49-4EB1-B518-ED33C541F318}"/>
    <dataValidation allowBlank="1" showInputMessage="1" showErrorMessage="1" prompt="Beknopte omschrijving van deze regel." sqref="T12" xr:uid="{7B398526-0FF7-4932-A785-F9DD1C1CF043}"/>
    <dataValidation allowBlank="1" showInputMessage="1" showErrorMessage="1" prompt="Wie is de leverancier dan wel fabrikant van deze applicatie." sqref="S12" xr:uid="{335D6240-C9C5-42D8-B662-A88B2CE46C78}"/>
    <dataValidation allowBlank="1" showInputMessage="1" showErrorMessage="1" prompt="What are the service port(s) of the application? Max 5 ports per rule." sqref="P12" xr:uid="{AB226482-B73B-429B-93C5-E342EC97148D}"/>
    <dataValidation allowBlank="1" showInputMessage="1" showErrorMessage="1" prompt="The FQDN or EPG of the device/domain that the connection is pointed to." sqref="L12" xr:uid="{35FD70F4-FD4F-4A57-8E8C-1398CC90405E}"/>
    <dataValidation allowBlank="1" showInputMessage="1" showErrorMessage="1" prompt="Global Protect VPN only: which MS AD group needs access." sqref="I12" xr:uid="{276EB9B6-A264-4E69-A502-5CD483D82182}"/>
    <dataValidation allowBlank="1" showInputMessage="1" showErrorMessage="1" prompt="The FQDN or EPG of the device/domain that initiates the connection." sqref="F12" xr:uid="{3BF52BB7-8249-40D1-BE26-CB9125A6E440}"/>
    <dataValidation allowBlank="1" showInputMessage="1" showErrorMessage="1" prompt="Meaningful description for this firewall rule." sqref="C12" xr:uid="{23D4274A-C926-4C52-A01C-2E50646FD965}"/>
    <dataValidation allowBlank="1" showInputMessage="1" showErrorMessage="1" prompt="This rule applies to this (source) application." sqref="D12" xr:uid="{A9F85C25-C91A-4AE7-9C37-BF5F66F23508}"/>
    <dataValidation allowBlank="1" showInputMessage="1" showErrorMessage="1" prompt="What is the network service that is allowed with this fw rule?" sqref="N12" xr:uid="{8CBF47F2-38E6-4C0E-A0DA-0BFB97E152F3}"/>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errorTitle="Warning" error="Please select the right protocol from the dropdown list." xr:uid="{222C6E4C-D216-415E-A90C-53E1B777A77D}">
          <x14:formula1>
            <xm:f>Content!$D$17:$D$20</xm:f>
          </x14:formula1>
          <xm:sqref>O14:O28</xm:sqref>
        </x14:dataValidation>
        <x14:dataValidation type="list" allowBlank="1" showInputMessage="1" showErrorMessage="1" xr:uid="{2778D8CF-7594-471A-B6C6-F94BAE9CACD4}">
          <x14:formula1>
            <xm:f>Content!$D$9:$D$10</xm:f>
          </x14:formula1>
          <xm:sqref>Q13:Q28</xm:sqref>
        </x14:dataValidation>
        <x14:dataValidation type="list" allowBlank="1" showInputMessage="1" showErrorMessage="1" xr:uid="{33B575A1-94C6-4126-801D-37E9B68AA15B}">
          <x14:formula1>
            <xm:f>Content!$A$9:$A$40</xm:f>
          </x14:formula1>
          <xm:sqref>N13:N28</xm:sqref>
        </x14:dataValidation>
        <x14:dataValidation type="list" allowBlank="1" showInputMessage="1" showErrorMessage="1" xr:uid="{ABD7826A-BFCB-493B-85B9-CAFB6DC9813B}">
          <x14:formula1>
            <xm:f>Content!$F$3:$F$13</xm:f>
          </x14:formula1>
          <xm:sqref>G13:G28 M13:M28</xm:sqref>
        </x14:dataValidation>
        <x14:dataValidation type="list" allowBlank="1" showInputMessage="1" showErrorMessage="1" xr:uid="{6516F2B8-6179-4E45-BC7C-C12493D26D11}">
          <x14:formula1>
            <xm:f>Content!$D$12:$D$13</xm:f>
          </x14:formula1>
          <xm:sqref>R13:R28</xm:sqref>
        </x14:dataValidation>
        <x14:dataValidation type="list" allowBlank="1" showInputMessage="1" showErrorMessage="1" xr:uid="{EA5CD5FF-0D7C-4CBA-8037-522E2FA1EDC9}">
          <x14:formula1>
            <xm:f>Content!$D$17:$D$20</xm:f>
          </x14:formula1>
          <xm:sqref>O13</xm:sqref>
        </x14:dataValidation>
        <x14:dataValidation type="list" allowBlank="1" showInputMessage="1" showErrorMessage="1" xr:uid="{F187C573-53E8-4130-8676-1C5743278992}">
          <x14:formula1>
            <xm:f>Content!$B$9:$B$18</xm:f>
          </x14:formula1>
          <xm:sqref>S13:S28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FE6A-CF4D-4CF7-BB60-C3FB563024C3}">
  <dimension ref="A1:BI110"/>
  <sheetViews>
    <sheetView zoomScaleNormal="100" workbookViewId="0">
      <selection activeCell="C14" sqref="C14"/>
    </sheetView>
  </sheetViews>
  <sheetFormatPr defaultColWidth="0" defaultRowHeight="15.75" customHeight="1" zeroHeight="1" x14ac:dyDescent="0.7"/>
  <cols>
    <col min="1" max="1" width="8.5234375" style="11" customWidth="1"/>
    <col min="2" max="2" width="6.3125" style="11" customWidth="1"/>
    <col min="3" max="3" width="43.3125" style="11" customWidth="1"/>
    <col min="4" max="4" width="16.1015625" style="11" customWidth="1"/>
    <col min="5" max="5" width="30.89453125" style="11" customWidth="1"/>
    <col min="6" max="6" width="29" style="11" customWidth="1"/>
    <col min="7" max="7" width="31.3125" style="11" customWidth="1"/>
    <col min="8" max="8" width="6.89453125" style="11" hidden="1" customWidth="1"/>
    <col min="9" max="9" width="33" style="11" bestFit="1" customWidth="1"/>
    <col min="10" max="10" width="17.41796875" style="11" customWidth="1"/>
    <col min="11" max="11" width="29.3125" style="11" customWidth="1"/>
    <col min="12" max="12" width="30.5234375" style="11" customWidth="1"/>
    <col min="13" max="13" width="32.5234375" style="11" customWidth="1"/>
    <col min="14" max="14" width="29.41796875" style="12" bestFit="1" customWidth="1"/>
    <col min="15" max="15" width="10.68359375" style="12" customWidth="1"/>
    <col min="16" max="16" width="16.68359375" style="12" customWidth="1"/>
    <col min="17" max="17" width="10.68359375" style="12" customWidth="1"/>
    <col min="18" max="18" width="15.89453125" style="12" bestFit="1" customWidth="1"/>
    <col min="19" max="19" width="21.3125" style="12" hidden="1" customWidth="1"/>
    <col min="20" max="20" width="56.5234375" style="12" hidden="1" customWidth="1"/>
    <col min="21" max="21" width="26" style="12" customWidth="1"/>
    <col min="22" max="22" width="27.3125" style="12" customWidth="1"/>
    <col min="23" max="23" width="8.5234375" style="11" customWidth="1"/>
    <col min="24" max="61" width="0" style="11" hidden="1" customWidth="1"/>
    <col min="62" max="16384" width="9.1015625" style="11" hidden="1"/>
  </cols>
  <sheetData>
    <row r="1" spans="1:23" s="12" customFormat="1" ht="15" customHeight="1" x14ac:dyDescent="1.3">
      <c r="A1" s="18"/>
      <c r="B1" s="31"/>
      <c r="C1" s="32"/>
      <c r="D1" s="32"/>
      <c r="E1" s="18"/>
      <c r="F1" s="18"/>
      <c r="G1" s="18"/>
      <c r="H1" s="18"/>
      <c r="I1" s="18"/>
      <c r="J1" s="18"/>
      <c r="K1" s="18"/>
      <c r="L1" s="18"/>
      <c r="M1" s="18"/>
      <c r="N1" s="18"/>
      <c r="O1" s="18"/>
      <c r="P1" s="18"/>
      <c r="Q1" s="18"/>
      <c r="R1" s="18"/>
      <c r="S1" s="18"/>
      <c r="T1" s="18"/>
      <c r="U1" s="18"/>
      <c r="V1" s="18"/>
      <c r="W1" s="18"/>
    </row>
    <row r="2" spans="1:23" s="12" customFormat="1" ht="15.3" x14ac:dyDescent="0.7">
      <c r="A2" s="18"/>
      <c r="B2" s="33"/>
      <c r="C2" s="18"/>
      <c r="D2" s="18"/>
      <c r="E2" s="18"/>
      <c r="F2" s="18"/>
      <c r="G2" s="18"/>
      <c r="H2" s="18"/>
      <c r="I2" s="208"/>
      <c r="J2" s="19"/>
      <c r="K2" s="18"/>
      <c r="L2" s="18"/>
      <c r="M2" s="18"/>
      <c r="N2" s="18"/>
      <c r="O2" s="18"/>
      <c r="P2" s="18"/>
      <c r="Q2" s="18"/>
      <c r="R2" s="18"/>
      <c r="S2" s="18"/>
      <c r="T2" s="18"/>
      <c r="U2" s="18"/>
      <c r="V2" s="18"/>
      <c r="W2" s="18"/>
    </row>
    <row r="3" spans="1:23" s="12" customFormat="1" ht="15.3" x14ac:dyDescent="0.7">
      <c r="A3" s="18"/>
      <c r="B3" s="33"/>
      <c r="C3" s="18"/>
      <c r="D3" s="18"/>
      <c r="E3" s="18"/>
      <c r="F3" s="18"/>
      <c r="G3" s="18"/>
      <c r="H3" s="18"/>
      <c r="I3" s="208"/>
      <c r="J3" s="19"/>
      <c r="K3" s="18"/>
      <c r="L3" s="18"/>
      <c r="M3" s="18"/>
      <c r="N3" s="18"/>
      <c r="O3" s="18"/>
      <c r="P3" s="18"/>
      <c r="Q3" s="18"/>
      <c r="R3" s="18"/>
      <c r="S3" s="18"/>
      <c r="T3" s="18"/>
      <c r="U3" s="18"/>
      <c r="V3" s="18"/>
      <c r="W3" s="18"/>
    </row>
    <row r="4" spans="1:23" s="12" customFormat="1" ht="15.3" x14ac:dyDescent="0.7">
      <c r="A4" s="18"/>
      <c r="B4" s="33"/>
      <c r="C4" s="18"/>
      <c r="D4" s="18"/>
      <c r="E4" s="18"/>
      <c r="F4" s="18"/>
      <c r="G4" s="18"/>
      <c r="H4" s="18"/>
      <c r="I4" s="208"/>
      <c r="J4" s="19"/>
      <c r="K4" s="18"/>
      <c r="L4" s="18"/>
      <c r="M4" s="18"/>
      <c r="N4" s="18"/>
      <c r="O4" s="18"/>
      <c r="P4" s="18"/>
      <c r="Q4" s="18"/>
      <c r="R4" s="18"/>
      <c r="S4" s="18"/>
      <c r="T4" s="18"/>
      <c r="U4" s="18"/>
      <c r="V4" s="18"/>
      <c r="W4" s="18"/>
    </row>
    <row r="5" spans="1:23" s="12" customFormat="1" ht="15.3" x14ac:dyDescent="0.7">
      <c r="A5" s="18"/>
      <c r="B5" s="33"/>
      <c r="C5" s="18"/>
      <c r="D5" s="18"/>
      <c r="E5" s="18"/>
      <c r="F5" s="18"/>
      <c r="G5" s="18"/>
      <c r="H5" s="18"/>
      <c r="I5" s="208"/>
      <c r="J5" s="19"/>
      <c r="K5" s="18"/>
      <c r="L5" s="18"/>
      <c r="M5" s="18"/>
      <c r="N5" s="18"/>
      <c r="O5" s="18"/>
      <c r="P5" s="18"/>
      <c r="Q5" s="18"/>
      <c r="R5" s="18"/>
      <c r="S5" s="18"/>
      <c r="T5" s="18"/>
      <c r="U5" s="18"/>
      <c r="V5" s="18"/>
      <c r="W5" s="18"/>
    </row>
    <row r="6" spans="1:23" s="12" customFormat="1" ht="15.3" x14ac:dyDescent="0.7">
      <c r="A6" s="18"/>
      <c r="B6" s="33"/>
      <c r="C6" s="18"/>
      <c r="D6" s="18"/>
      <c r="E6" s="18"/>
      <c r="F6" s="18"/>
      <c r="G6" s="18"/>
      <c r="H6" s="18"/>
      <c r="I6" s="208"/>
      <c r="J6" s="19"/>
      <c r="K6" s="18"/>
      <c r="L6" s="18"/>
      <c r="M6" s="18"/>
      <c r="N6" s="18"/>
      <c r="O6" s="18"/>
      <c r="P6" s="18"/>
      <c r="Q6" s="18"/>
      <c r="R6" s="18"/>
      <c r="S6" s="18"/>
      <c r="T6" s="18"/>
      <c r="U6" s="18"/>
      <c r="V6" s="18"/>
      <c r="W6" s="18"/>
    </row>
    <row r="7" spans="1:23" s="12" customFormat="1" ht="15.6" thickBot="1" x14ac:dyDescent="0.75">
      <c r="A7" s="18"/>
      <c r="B7" s="33"/>
      <c r="C7" s="18"/>
      <c r="D7" s="18"/>
      <c r="E7" s="18"/>
      <c r="F7" s="18"/>
      <c r="G7" s="18"/>
      <c r="H7" s="18"/>
      <c r="I7" s="208"/>
      <c r="J7" s="19"/>
      <c r="K7" s="18"/>
      <c r="L7" s="18"/>
      <c r="M7" s="18"/>
      <c r="N7" s="18"/>
      <c r="O7" s="18"/>
      <c r="P7" s="18"/>
      <c r="Q7" s="18"/>
      <c r="R7" s="18"/>
      <c r="S7" s="18"/>
      <c r="T7" s="18"/>
      <c r="U7" s="18"/>
      <c r="V7" s="18"/>
      <c r="W7" s="18"/>
    </row>
    <row r="8" spans="1:23" s="12" customFormat="1" ht="15.9" thickTop="1" thickBot="1" x14ac:dyDescent="0.75">
      <c r="A8" s="18"/>
      <c r="B8" s="33"/>
      <c r="C8" s="18"/>
      <c r="D8" s="18"/>
      <c r="E8" s="123" t="s">
        <v>80</v>
      </c>
      <c r="F8" s="18"/>
      <c r="G8" s="18"/>
      <c r="H8" s="18"/>
      <c r="I8" s="18"/>
      <c r="J8" s="18"/>
      <c r="K8" s="18"/>
      <c r="L8" s="18"/>
      <c r="M8" s="18"/>
      <c r="N8" s="18"/>
      <c r="O8" s="18"/>
      <c r="P8" s="18"/>
      <c r="Q8" s="18"/>
      <c r="R8" s="18"/>
      <c r="S8" s="18"/>
      <c r="T8" s="18"/>
      <c r="U8" s="18"/>
      <c r="V8" s="18"/>
      <c r="W8" s="18"/>
    </row>
    <row r="9" spans="1:23" s="12" customFormat="1" ht="15.6" thickTop="1" x14ac:dyDescent="0.7">
      <c r="A9" s="18"/>
      <c r="B9" s="33"/>
      <c r="C9" s="18"/>
      <c r="D9" s="18"/>
      <c r="E9" s="18"/>
      <c r="F9" s="18"/>
      <c r="G9" s="18"/>
      <c r="H9" s="18"/>
      <c r="I9" s="18"/>
      <c r="J9" s="18"/>
      <c r="K9" s="18"/>
      <c r="L9" s="18"/>
      <c r="M9" s="18"/>
      <c r="N9" s="18"/>
      <c r="O9" s="18"/>
      <c r="P9" s="18"/>
      <c r="Q9" s="18"/>
      <c r="R9" s="18"/>
      <c r="S9" s="18"/>
      <c r="T9" s="18"/>
      <c r="U9" s="18"/>
      <c r="V9" s="18"/>
      <c r="W9" s="18"/>
    </row>
    <row r="10" spans="1:23" s="12" customFormat="1" ht="15.6" thickBot="1" x14ac:dyDescent="0.75">
      <c r="A10" s="18"/>
      <c r="B10" s="33"/>
      <c r="C10" s="18"/>
      <c r="D10" s="18"/>
      <c r="E10" s="18"/>
      <c r="F10" s="18"/>
      <c r="G10" s="18"/>
      <c r="H10" s="18"/>
      <c r="I10" s="18"/>
      <c r="J10" s="18"/>
      <c r="K10" s="18"/>
      <c r="L10" s="18"/>
      <c r="M10" s="18"/>
      <c r="N10" s="18"/>
      <c r="O10" s="18"/>
      <c r="P10" s="18"/>
      <c r="Q10" s="18"/>
      <c r="R10" s="18"/>
      <c r="S10" s="18"/>
      <c r="T10" s="18"/>
      <c r="U10" s="18"/>
      <c r="V10" s="18"/>
      <c r="W10" s="18"/>
    </row>
    <row r="11" spans="1:23" ht="15.6" thickBot="1" x14ac:dyDescent="0.75">
      <c r="A11" s="18"/>
      <c r="B11" s="22"/>
      <c r="C11" s="22"/>
      <c r="D11" s="182"/>
      <c r="E11" s="206" t="s">
        <v>81</v>
      </c>
      <c r="F11" s="206"/>
      <c r="G11" s="206"/>
      <c r="H11" s="206"/>
      <c r="I11" s="206"/>
      <c r="J11" s="176"/>
      <c r="K11" s="206" t="s">
        <v>82</v>
      </c>
      <c r="L11" s="206"/>
      <c r="M11" s="207"/>
      <c r="N11" s="18"/>
      <c r="O11" s="18"/>
      <c r="P11" s="18"/>
      <c r="Q11" s="18"/>
      <c r="R11" s="22"/>
      <c r="S11" s="22"/>
      <c r="T11" s="22"/>
      <c r="U11" s="204" t="s">
        <v>83</v>
      </c>
      <c r="V11" s="205"/>
      <c r="W11" s="18"/>
    </row>
    <row r="12" spans="1:23" ht="15.6" thickBot="1" x14ac:dyDescent="0.75">
      <c r="A12" s="18"/>
      <c r="B12" s="68" t="s">
        <v>84</v>
      </c>
      <c r="C12" s="70" t="s">
        <v>4</v>
      </c>
      <c r="D12" s="181" t="s">
        <v>85</v>
      </c>
      <c r="E12" s="74" t="s">
        <v>86</v>
      </c>
      <c r="F12" s="75" t="s">
        <v>87</v>
      </c>
      <c r="G12" s="179" t="s">
        <v>88</v>
      </c>
      <c r="H12" s="180"/>
      <c r="I12" s="74" t="s">
        <v>89</v>
      </c>
      <c r="J12" s="74" t="s">
        <v>90</v>
      </c>
      <c r="K12" s="74" t="s">
        <v>91</v>
      </c>
      <c r="L12" s="75" t="s">
        <v>87</v>
      </c>
      <c r="M12" s="76" t="s">
        <v>88</v>
      </c>
      <c r="N12" s="74" t="s">
        <v>28</v>
      </c>
      <c r="O12" s="178" t="s">
        <v>92</v>
      </c>
      <c r="P12" s="186" t="s">
        <v>93</v>
      </c>
      <c r="Q12" s="187" t="s">
        <v>94</v>
      </c>
      <c r="R12" s="186" t="s">
        <v>95</v>
      </c>
      <c r="S12" s="35" t="s">
        <v>96</v>
      </c>
      <c r="T12" s="34" t="s">
        <v>97</v>
      </c>
      <c r="U12" s="129" t="s">
        <v>98</v>
      </c>
      <c r="V12" s="130" t="s">
        <v>99</v>
      </c>
      <c r="W12" s="18"/>
    </row>
    <row r="13" spans="1:23" ht="15.3" x14ac:dyDescent="0.7">
      <c r="A13" s="18"/>
      <c r="B13" s="165" t="s">
        <v>100</v>
      </c>
      <c r="C13" s="136" t="s">
        <v>101</v>
      </c>
      <c r="D13" s="138">
        <v>123456</v>
      </c>
      <c r="E13" s="137" t="s">
        <v>102</v>
      </c>
      <c r="F13" s="138" t="s">
        <v>103</v>
      </c>
      <c r="G13" s="139" t="s">
        <v>104</v>
      </c>
      <c r="H13" s="140"/>
      <c r="I13" s="141" t="s">
        <v>21</v>
      </c>
      <c r="J13" s="138">
        <v>567890</v>
      </c>
      <c r="K13" s="177" t="s">
        <v>105</v>
      </c>
      <c r="L13" s="138" t="s">
        <v>106</v>
      </c>
      <c r="M13" s="139" t="s">
        <v>107</v>
      </c>
      <c r="N13" s="143" t="s">
        <v>108</v>
      </c>
      <c r="O13" s="183" t="s">
        <v>109</v>
      </c>
      <c r="P13" s="183">
        <v>53</v>
      </c>
      <c r="Q13" s="184" t="s">
        <v>110</v>
      </c>
      <c r="R13" s="185" t="s">
        <v>111</v>
      </c>
      <c r="S13" s="147" t="s">
        <v>112</v>
      </c>
      <c r="T13" s="148" t="s">
        <v>113</v>
      </c>
      <c r="U13" s="149" t="str" cm="1">
        <f t="array" ref="U13">IF(E13="","",IF(OR(ISNUMBER(SEARCH({"10.205.37";"10.205.38";"10.205.69";"10.205.31";"10.205.28";"10.205.27"},E13))),"Platform-Runtime and Azure OPS",
IF(OR(ISNUMBER(SEARCH({"10.229.16";"10.229.17";"10.229.18";"10.229.19";"10.229.20";"10.229.21";"10.229.25";"10.229.26"},E13))),"SDDC",
IF(OR(ISNUMBER(SEARCH({"10.220";"10.221";"10.222";"10.223";"10.224";"10.225";"10.229";"185.130.242"},E13))),"SDDC",
IF(OR(ISNUMBER(SEARCH({"10.226";"10.227";"10.205"},E13))),"Azure OPS and SDDC",
IF(AND(NOT(ISNUMBER(SEARCH({"10.220";"10.221";"10.222";"10.223";"10.224";"10.225";"10.229";"10.226";"10.227";"10.205";"10.205.37";"10.205.38";"10.205.69";"10.205.31";"10.205.28";"10.205.27";"10.229.16";"10.229.17";"10.229.18";"10.229.19";"10.229.20";"10.229.21";"10.229.25";"10.229.26"},E13)))),"SCT SI - OCD",""))))))</f>
        <v>SCT SI - OCD</v>
      </c>
      <c r="V13" s="150" t="str" cm="1">
        <f t="array" ref="V13">IF(K13="","",IF(OR(ISNUMBER(SEARCH({"10.205.37";"10.205.38";"10.205.69";"10.205.31";"10.205.28";"10.205.27"},K13))),"Platform-Runtime and Azure OPS",
IF(OR(ISNUMBER(SEARCH({"10.229.16";"10.229.17";"10.229.18";"10.229.19";"10.229.20";"10.229.21";"10.229.25";"10.229.26"},K13))),"SDDC",
IF(OR(ISNUMBER(SEARCH({"10.220";"10.221";"10.222";"10.223";"10.224";"10.225";"10.229"},K13))),"SDDC",
IF(OR(ISNUMBER(SEARCH({"10.226";"10.227";"10.205"},K13))),"Azure OPS and SDDC",
IF(AND(NOT(ISNUMBER(SEARCH({"10.220";"10.221";"10.222";"10.223";"10.224";"10.225";"10.229";"10.226";"10.227";"10.205";"10.205.37";"10.205.38";"10.205.69";"10.205.31";"10.205.28";"10.205.27";"10.229.16";"10.229.17";"10.229.18";"10.229.19";"10.229.20";"10.229.21";"10.229.25";"10.229.26"},K13)))),"SCT SI - OCD",""))))))</f>
        <v>SCT SI - OCD</v>
      </c>
      <c r="W13" s="18"/>
    </row>
    <row r="14" spans="1:23" ht="15.3" x14ac:dyDescent="0.7">
      <c r="A14" s="18"/>
      <c r="B14" s="78">
        <v>16</v>
      </c>
      <c r="C14" s="171"/>
      <c r="D14" s="37"/>
      <c r="E14" s="38"/>
      <c r="F14" s="39"/>
      <c r="G14" s="36"/>
      <c r="H14" s="36"/>
      <c r="I14" s="36"/>
      <c r="J14" s="188"/>
      <c r="K14" s="38"/>
      <c r="L14" s="39"/>
      <c r="M14" s="36"/>
      <c r="N14" s="36"/>
      <c r="O14" s="36"/>
      <c r="P14" s="159"/>
      <c r="Q14" s="40"/>
      <c r="R14" s="41" t="s">
        <v>47</v>
      </c>
      <c r="S14" s="42"/>
      <c r="T14" s="43"/>
      <c r="U14" s="131" t="str" cm="1">
        <f t="array" ref="U14">IF(E14="","",IF(OR(ISNUMBER(SEARCH({"10.205.37";"10.205.38";"10.205.69";"10.205.31";"10.205.28";"10.205.27"},E14))),"Platform-Runtime and Azure OPS",
IF(OR(ISNUMBER(SEARCH({"10.229.16";"10.229.17";"10.229.18";"10.229.19";"10.229.20";"10.229.21";"10.229.25";"10.229.26"},E14))),"SDDC",
IF(OR(ISNUMBER(SEARCH({"10.220";"10.221";"10.222";"10.223";"10.224";"10.225";"10.229";"185.130.242"},E14))),"SDDC",
IF(OR(ISNUMBER(SEARCH({"10.226";"10.227";"10.205"},E14))),"Azure OPS and SDDC",
IF(AND(NOT(ISNUMBER(SEARCH({"10.220";"10.221";"10.222";"10.223";"10.224";"10.225";"10.229";"10.226";"10.227";"10.205";"10.205.37";"10.205.38";"10.205.69";"10.205.31";"10.205.28";"10.205.27";"10.229.16";"10.229.17";"10.229.18";"10.229.19";"10.229.20";"10.229.21";"10.229.25";"10.229.26"},E14)))),"SCT SI - OCD",""))))))</f>
        <v/>
      </c>
      <c r="V14" s="127" t="str" cm="1">
        <f t="array" ref="V14">IF(K14="","",IF(OR(ISNUMBER(SEARCH({"10.205.37";"10.205.38";"10.205.69";"10.205.31";"10.205.28";"10.205.27"},K14))),"Platform-Runtime and Azure OPS",
IF(OR(ISNUMBER(SEARCH({"10.229.16";"10.229.17";"10.229.18";"10.229.19";"10.229.20";"10.229.21";"10.229.25";"10.229.26"},K14))),"SDDC",
IF(OR(ISNUMBER(SEARCH({"10.220";"10.221";"10.222";"10.223";"10.224";"10.225";"10.229";"185.130.242"},K14))),"SDDC",
IF(OR(ISNUMBER(SEARCH({"10.226";"10.227";"10.205"},K14))),"Azure OPS and SDDC",
IF(AND(NOT(ISNUMBER(SEARCH({"10.220";"10.221";"10.222";"10.223";"10.224";"10.225";"10.229";"10.226";"10.227";"10.205";"10.205.37";"10.205.38";"10.205.69";"10.205.31";"10.205.28";"10.205.27";"10.229.16";"10.229.17";"10.229.18";"10.229.19";"10.229.20";"10.229.21";"10.229.25";"10.229.26"},K14)))),"SCT SI - OCD",""))))))</f>
        <v/>
      </c>
      <c r="W14" s="18"/>
    </row>
    <row r="15" spans="1:23" ht="15.3" x14ac:dyDescent="0.7">
      <c r="A15" s="18"/>
      <c r="B15" s="45">
        <v>17</v>
      </c>
      <c r="C15" s="170"/>
      <c r="D15" s="47"/>
      <c r="E15" s="49"/>
      <c r="F15" s="36"/>
      <c r="G15" s="36"/>
      <c r="H15" s="36"/>
      <c r="I15" s="46"/>
      <c r="J15" s="170"/>
      <c r="K15" s="49"/>
      <c r="L15" s="36"/>
      <c r="M15" s="36"/>
      <c r="N15" s="36"/>
      <c r="O15" s="36"/>
      <c r="P15" s="159"/>
      <c r="Q15" s="40"/>
      <c r="R15" s="41" t="s">
        <v>47</v>
      </c>
      <c r="S15" s="42"/>
      <c r="T15" s="50"/>
      <c r="U15" s="131" t="str" cm="1">
        <f t="array" ref="U15">IF(E15="","",IF(OR(ISNUMBER(SEARCH({"10.205.37";"10.205.38";"10.205.69";"10.205.31";"10.205.28";"10.205.27"},E15))),"Platform-Runtime and Azure OPS",
IF(OR(ISNUMBER(SEARCH({"10.229.16";"10.229.17";"10.229.18";"10.229.19";"10.229.20";"10.229.21";"10.229.25";"10.229.26"},E15))),"SDDC",
IF(OR(ISNUMBER(SEARCH({"10.220";"10.221";"10.222";"10.223";"10.224";"10.225";"10.229";"185.130.242"},E15))),"SDDC",
IF(OR(ISNUMBER(SEARCH({"10.226";"10.227";"10.205"},E15))),"Azure OPS and SDDC",
IF(AND(NOT(ISNUMBER(SEARCH({"10.220";"10.221";"10.222";"10.223";"10.224";"10.225";"10.229";"10.226";"10.227";"10.205";"10.205.37";"10.205.38";"10.205.69";"10.205.31";"10.205.28";"10.205.27";"10.229.16";"10.229.17";"10.229.18";"10.229.19";"10.229.20";"10.229.21";"10.229.25";"10.229.26"},E15)))),"SCT SI - OCD",""))))))</f>
        <v/>
      </c>
      <c r="V15" s="127" t="str" cm="1">
        <f t="array" ref="V15">IF(K15="","",IF(OR(ISNUMBER(SEARCH({"10.205.37";"10.205.38";"10.205.69";"10.205.31";"10.205.28";"10.205.27"},K15))),"Platform-Runtime and Azure OPS",
IF(OR(ISNUMBER(SEARCH({"10.229.16";"10.229.17";"10.229.18";"10.229.19";"10.229.20";"10.229.21";"10.229.25";"10.229.26"},K15))),"SDDC",
IF(OR(ISNUMBER(SEARCH({"10.220";"10.221";"10.222";"10.223";"10.224";"10.225";"10.229";"185.130.242"},K15))),"SDDC",
IF(OR(ISNUMBER(SEARCH({"10.226";"10.227";"10.205"},K15))),"Azure OPS and SDDC",
IF(AND(NOT(ISNUMBER(SEARCH({"10.220";"10.221";"10.222";"10.223";"10.224";"10.225";"10.229";"10.226";"10.227";"10.205";"10.205.37";"10.205.38";"10.205.69";"10.205.31";"10.205.28";"10.205.27";"10.229.16";"10.229.17";"10.229.18";"10.229.19";"10.229.20";"10.229.21";"10.229.25";"10.229.26"},K15)))),"SCT SI - OCD",""))))))</f>
        <v/>
      </c>
      <c r="W15" s="126"/>
    </row>
    <row r="16" spans="1:23" ht="15.3" x14ac:dyDescent="0.7">
      <c r="A16" s="18"/>
      <c r="B16" s="45">
        <v>18</v>
      </c>
      <c r="C16" s="170"/>
      <c r="D16" s="47"/>
      <c r="E16" s="49"/>
      <c r="F16" s="46"/>
      <c r="G16" s="36"/>
      <c r="H16" s="46"/>
      <c r="I16" s="46"/>
      <c r="J16" s="170"/>
      <c r="K16" s="49"/>
      <c r="L16" s="36"/>
      <c r="M16" s="36"/>
      <c r="N16" s="36"/>
      <c r="O16" s="36"/>
      <c r="P16" s="159"/>
      <c r="Q16" s="40"/>
      <c r="R16" s="41" t="s">
        <v>47</v>
      </c>
      <c r="S16" s="42"/>
      <c r="T16" s="50"/>
      <c r="U16" s="131" t="str" cm="1">
        <f t="array" ref="U16">IF(E16="","",IF(OR(ISNUMBER(SEARCH({"10.205.37";"10.205.38";"10.205.69";"10.205.31";"10.205.28";"10.205.27"},E16))),"Platform-Runtime and Azure OPS",
IF(OR(ISNUMBER(SEARCH({"10.229.16";"10.229.17";"10.229.18";"10.229.19";"10.229.20";"10.229.21";"10.229.25";"10.229.26"},E16))),"SDDC",
IF(OR(ISNUMBER(SEARCH({"10.220";"10.221";"10.222";"10.223";"10.224";"10.225";"10.229";"185.130.242"},E16))),"SDDC",
IF(OR(ISNUMBER(SEARCH({"10.226";"10.227";"10.205"},E16))),"Azure OPS and SDDC",
IF(AND(NOT(ISNUMBER(SEARCH({"10.220";"10.221";"10.222";"10.223";"10.224";"10.225";"10.229";"10.226";"10.227";"10.205";"10.205.37";"10.205.38";"10.205.69";"10.205.31";"10.205.28";"10.205.27";"10.229.16";"10.229.17";"10.229.18";"10.229.19";"10.229.20";"10.229.21";"10.229.25";"10.229.26"},E16)))),"SCT SI - OCD",""))))))</f>
        <v/>
      </c>
      <c r="V16" s="127" t="str" cm="1">
        <f t="array" ref="V16">IF(K16="","",IF(OR(ISNUMBER(SEARCH({"10.205.37";"10.205.38";"10.205.69";"10.205.31";"10.205.28";"10.205.27"},K16))),"Platform-Runtime and Azure OPS",
IF(OR(ISNUMBER(SEARCH({"10.229.16";"10.229.17";"10.229.18";"10.229.19";"10.229.20";"10.229.21";"10.229.25";"10.229.26"},K16))),"SDDC",
IF(OR(ISNUMBER(SEARCH({"10.220";"10.221";"10.222";"10.223";"10.224";"10.225";"10.229";"185.130.242"},K16))),"SDDC",
IF(OR(ISNUMBER(SEARCH({"10.226";"10.227";"10.205"},K16))),"Azure OPS and SDDC",
IF(AND(NOT(ISNUMBER(SEARCH({"10.220";"10.221";"10.222";"10.223";"10.224";"10.225";"10.229";"10.226";"10.227";"10.205";"10.205.37";"10.205.38";"10.205.69";"10.205.31";"10.205.28";"10.205.27";"10.229.16";"10.229.17";"10.229.18";"10.229.19";"10.229.20";"10.229.21";"10.229.25";"10.229.26"},K16)))),"SCT SI - OCD",""))))))</f>
        <v/>
      </c>
      <c r="W16" s="126"/>
    </row>
    <row r="17" spans="1:23" ht="15.3" x14ac:dyDescent="0.7">
      <c r="A17" s="18"/>
      <c r="B17" s="45">
        <v>19</v>
      </c>
      <c r="C17" s="170"/>
      <c r="D17" s="47"/>
      <c r="E17" s="49"/>
      <c r="F17" s="46"/>
      <c r="G17" s="36"/>
      <c r="H17" s="46"/>
      <c r="I17" s="46"/>
      <c r="J17" s="170"/>
      <c r="K17" s="49"/>
      <c r="L17" s="36"/>
      <c r="M17" s="36"/>
      <c r="N17" s="36"/>
      <c r="O17" s="36"/>
      <c r="P17" s="159"/>
      <c r="Q17" s="40"/>
      <c r="R17" s="41" t="s">
        <v>47</v>
      </c>
      <c r="S17" s="42"/>
      <c r="T17" s="50"/>
      <c r="U17" s="131" t="str" cm="1">
        <f t="array" ref="U17">IF(E17="","",IF(OR(ISNUMBER(SEARCH({"10.205.37";"10.205.38";"10.205.69";"10.205.31";"10.205.28";"10.205.27"},E17))),"Platform-Runtime and Azure OPS",
IF(OR(ISNUMBER(SEARCH({"10.229.16";"10.229.17";"10.229.18";"10.229.19";"10.229.20";"10.229.21";"10.229.25";"10.229.26"},E17))),"SDDC",
IF(OR(ISNUMBER(SEARCH({"10.220";"10.221";"10.222";"10.223";"10.224";"10.225";"10.229";"185.130.242"},E17))),"SDDC",
IF(OR(ISNUMBER(SEARCH({"10.226";"10.227";"10.205"},E17))),"Azure OPS and SDDC",
IF(AND(NOT(ISNUMBER(SEARCH({"10.220";"10.221";"10.222";"10.223";"10.224";"10.225";"10.229";"10.226";"10.227";"10.205";"10.205.37";"10.205.38";"10.205.69";"10.205.31";"10.205.28";"10.205.27";"10.229.16";"10.229.17";"10.229.18";"10.229.19";"10.229.20";"10.229.21";"10.229.25";"10.229.26"},E17)))),"SCT SI - OCD",""))))))</f>
        <v/>
      </c>
      <c r="V17" s="127" t="str" cm="1">
        <f t="array" ref="V17">IF(K17="","",IF(OR(ISNUMBER(SEARCH({"10.205.37";"10.205.38";"10.205.69";"10.205.31";"10.205.28";"10.205.27"},K17))),"Platform-Runtime and Azure OPS",
IF(OR(ISNUMBER(SEARCH({"10.229.16";"10.229.17";"10.229.18";"10.229.19";"10.229.20";"10.229.21";"10.229.25";"10.229.26"},K17))),"SDDC",
IF(OR(ISNUMBER(SEARCH({"10.220";"10.221";"10.222";"10.223";"10.224";"10.225";"10.229";"185.130.242"},K17))),"SDDC",
IF(OR(ISNUMBER(SEARCH({"10.226";"10.227";"10.205"},K17))),"Azure OPS and SDDC",
IF(AND(NOT(ISNUMBER(SEARCH({"10.220";"10.221";"10.222";"10.223";"10.224";"10.225";"10.229";"10.226";"10.227";"10.205";"10.205.37";"10.205.38";"10.205.69";"10.205.31";"10.205.28";"10.205.27";"10.229.16";"10.229.17";"10.229.18";"10.229.19";"10.229.20";"10.229.21";"10.229.25";"10.229.26"},K17)))),"SCT SI - OCD",""))))))</f>
        <v/>
      </c>
      <c r="W17" s="126"/>
    </row>
    <row r="18" spans="1:23" ht="15.3" x14ac:dyDescent="0.7">
      <c r="A18" s="18"/>
      <c r="B18" s="45">
        <v>20</v>
      </c>
      <c r="C18" s="170"/>
      <c r="D18" s="47"/>
      <c r="E18" s="49"/>
      <c r="F18" s="46"/>
      <c r="G18" s="36"/>
      <c r="H18" s="46"/>
      <c r="I18" s="46"/>
      <c r="J18" s="170"/>
      <c r="K18" s="49"/>
      <c r="L18" s="36"/>
      <c r="M18" s="36"/>
      <c r="N18" s="36"/>
      <c r="O18" s="36"/>
      <c r="P18" s="159"/>
      <c r="Q18" s="40"/>
      <c r="R18" s="41" t="s">
        <v>47</v>
      </c>
      <c r="S18" s="42"/>
      <c r="T18" s="50"/>
      <c r="U18" s="131" t="str" cm="1">
        <f t="array" ref="U18">IF(E18="","",IF(OR(ISNUMBER(SEARCH({"10.205.37";"10.205.38";"10.205.69";"10.205.31";"10.205.28";"10.205.27"},E18))),"Platform-Runtime and Azure OPS",
IF(OR(ISNUMBER(SEARCH({"10.229.16";"10.229.17";"10.229.18";"10.229.19";"10.229.20";"10.229.21";"10.229.25";"10.229.26"},E18))),"SDDC",
IF(OR(ISNUMBER(SEARCH({"10.220";"10.221";"10.222";"10.223";"10.224";"10.225";"10.229";"185.130.242"},E18))),"SDDC",
IF(OR(ISNUMBER(SEARCH({"10.226";"10.227";"10.205"},E18))),"Azure OPS and SDDC",
IF(AND(NOT(ISNUMBER(SEARCH({"10.220";"10.221";"10.222";"10.223";"10.224";"10.225";"10.229";"10.226";"10.227";"10.205";"10.205.37";"10.205.38";"10.205.69";"10.205.31";"10.205.28";"10.205.27";"10.229.16";"10.229.17";"10.229.18";"10.229.19";"10.229.20";"10.229.21";"10.229.25";"10.229.26"},E18)))),"SCT SI - OCD",""))))))</f>
        <v/>
      </c>
      <c r="V18" s="127" t="str" cm="1">
        <f t="array" ref="V18">IF(K18="","",IF(OR(ISNUMBER(SEARCH({"10.205.37";"10.205.38";"10.205.69";"10.205.31";"10.205.28";"10.205.27"},K18))),"Platform-Runtime and Azure OPS",
IF(OR(ISNUMBER(SEARCH({"10.229.16";"10.229.17";"10.229.18";"10.229.19";"10.229.20";"10.229.21";"10.229.25";"10.229.26"},K18))),"SDDC",
IF(OR(ISNUMBER(SEARCH({"10.220";"10.221";"10.222";"10.223";"10.224";"10.225";"10.229";"185.130.242"},K18))),"SDDC",
IF(OR(ISNUMBER(SEARCH({"10.226";"10.227";"10.205"},K18))),"Azure OPS and SDDC",
IF(AND(NOT(ISNUMBER(SEARCH({"10.220";"10.221";"10.222";"10.223";"10.224";"10.225";"10.229";"10.226";"10.227";"10.205";"10.205.37";"10.205.38";"10.205.69";"10.205.31";"10.205.28";"10.205.27";"10.229.16";"10.229.17";"10.229.18";"10.229.19";"10.229.20";"10.229.21";"10.229.25";"10.229.26"},K18)))),"SCT SI - OCD",""))))))</f>
        <v/>
      </c>
      <c r="W18" s="18"/>
    </row>
    <row r="19" spans="1:23" ht="15.3" x14ac:dyDescent="0.7">
      <c r="A19" s="18"/>
      <c r="B19" s="45">
        <v>21</v>
      </c>
      <c r="C19" s="170"/>
      <c r="D19" s="47"/>
      <c r="E19" s="49"/>
      <c r="F19" s="46"/>
      <c r="G19" s="36"/>
      <c r="H19" s="46"/>
      <c r="I19" s="46"/>
      <c r="J19" s="170"/>
      <c r="K19" s="49"/>
      <c r="L19" s="36"/>
      <c r="M19" s="36"/>
      <c r="N19" s="36"/>
      <c r="O19" s="36"/>
      <c r="P19" s="159"/>
      <c r="Q19" s="40"/>
      <c r="R19" s="41" t="s">
        <v>47</v>
      </c>
      <c r="S19" s="42"/>
      <c r="T19" s="50"/>
      <c r="U19" s="131" t="str" cm="1">
        <f t="array" ref="U19">IF(E19="","",IF(OR(ISNUMBER(SEARCH({"10.205.37";"10.205.38";"10.205.69";"10.205.31";"10.205.28";"10.205.27"},E19))),"Platform-Runtime and Azure OPS",
IF(OR(ISNUMBER(SEARCH({"10.229.16";"10.229.17";"10.229.18";"10.229.19";"10.229.20";"10.229.21";"10.229.25";"10.229.26"},E19))),"SDDC",
IF(OR(ISNUMBER(SEARCH({"10.220";"10.221";"10.222";"10.223";"10.224";"10.225";"10.229";"185.130.242"},E19))),"SDDC",
IF(OR(ISNUMBER(SEARCH({"10.226";"10.227";"10.205"},E19))),"Azure OPS and SDDC",
IF(AND(NOT(ISNUMBER(SEARCH({"10.220";"10.221";"10.222";"10.223";"10.224";"10.225";"10.229";"10.226";"10.227";"10.205";"10.205.37";"10.205.38";"10.205.69";"10.205.31";"10.205.28";"10.205.27";"10.229.16";"10.229.17";"10.229.18";"10.229.19";"10.229.20";"10.229.21";"10.229.25";"10.229.26"},E19)))),"SCT SI - OCD",""))))))</f>
        <v/>
      </c>
      <c r="V19" s="127" t="str" cm="1">
        <f t="array" ref="V19">IF(K19="","",IF(OR(ISNUMBER(SEARCH({"10.205.37";"10.205.38";"10.205.69";"10.205.31";"10.205.28";"10.205.27"},K19))),"Platform-Runtime and Azure OPS",
IF(OR(ISNUMBER(SEARCH({"10.229.16";"10.229.17";"10.229.18";"10.229.19";"10.229.20";"10.229.21";"10.229.25";"10.229.26"},K19))),"SDDC",
IF(OR(ISNUMBER(SEARCH({"10.220";"10.221";"10.222";"10.223";"10.224";"10.225";"10.229";"185.130.242"},K19))),"SDDC",
IF(OR(ISNUMBER(SEARCH({"10.226";"10.227";"10.205"},K19))),"Azure OPS and SDDC",
IF(AND(NOT(ISNUMBER(SEARCH({"10.220";"10.221";"10.222";"10.223";"10.224";"10.225";"10.229";"10.226";"10.227";"10.205";"10.205.37";"10.205.38";"10.205.69";"10.205.31";"10.205.28";"10.205.27";"10.229.16";"10.229.17";"10.229.18";"10.229.19";"10.229.20";"10.229.21";"10.229.25";"10.229.26"},K19)))),"SCT SI - OCD",""))))))</f>
        <v/>
      </c>
      <c r="W19" s="126"/>
    </row>
    <row r="20" spans="1:23" ht="15.3" x14ac:dyDescent="0.7">
      <c r="A20" s="18"/>
      <c r="B20" s="45">
        <v>22</v>
      </c>
      <c r="C20" s="170"/>
      <c r="D20" s="47"/>
      <c r="E20" s="48"/>
      <c r="F20" s="46"/>
      <c r="G20" s="36"/>
      <c r="H20" s="46"/>
      <c r="I20" s="46"/>
      <c r="J20" s="170"/>
      <c r="K20" s="49"/>
      <c r="L20" s="36"/>
      <c r="M20" s="36"/>
      <c r="N20" s="36"/>
      <c r="O20" s="36"/>
      <c r="P20" s="159"/>
      <c r="Q20" s="40"/>
      <c r="R20" s="41" t="s">
        <v>47</v>
      </c>
      <c r="S20" s="42"/>
      <c r="T20" s="50"/>
      <c r="U20" s="131" t="str" cm="1">
        <f t="array" ref="U20">IF(E20="","",IF(OR(ISNUMBER(SEARCH({"10.205.37";"10.205.38";"10.205.69";"10.205.31";"10.205.28";"10.205.27"},E20))),"Platform-Runtime and Azure OPS",
IF(OR(ISNUMBER(SEARCH({"10.229.16";"10.229.17";"10.229.18";"10.229.19";"10.229.20";"10.229.21";"10.229.25";"10.229.26"},E20))),"SDDC",
IF(OR(ISNUMBER(SEARCH({"10.220";"10.221";"10.222";"10.223";"10.224";"10.225";"10.229";"185.130.242"},E20))),"SDDC",
IF(OR(ISNUMBER(SEARCH({"10.226";"10.227";"10.205"},E20))),"Azure OPS and SDDC",
IF(AND(NOT(ISNUMBER(SEARCH({"10.220";"10.221";"10.222";"10.223";"10.224";"10.225";"10.229";"10.226";"10.227";"10.205";"10.205.37";"10.205.38";"10.205.69";"10.205.31";"10.205.28";"10.205.27";"10.229.16";"10.229.17";"10.229.18";"10.229.19";"10.229.20";"10.229.21";"10.229.25";"10.229.26"},E20)))),"SCT SI - OCD",""))))))</f>
        <v/>
      </c>
      <c r="V20" s="127" t="str" cm="1">
        <f t="array" ref="V20">IF(K20="","",IF(OR(ISNUMBER(SEARCH({"10.205.37";"10.205.38";"10.205.69";"10.205.31";"10.205.28";"10.205.27"},K20))),"Platform-Runtime and Azure OPS",
IF(OR(ISNUMBER(SEARCH({"10.229.16";"10.229.17";"10.229.18";"10.229.19";"10.229.20";"10.229.21";"10.229.25";"10.229.26"},K20))),"SDDC",
IF(OR(ISNUMBER(SEARCH({"10.220";"10.221";"10.222";"10.223";"10.224";"10.225";"10.229";"185.130.242"},K20))),"SDDC",
IF(OR(ISNUMBER(SEARCH({"10.226";"10.227";"10.205"},K20))),"Azure OPS and SDDC",
IF(AND(NOT(ISNUMBER(SEARCH({"10.220";"10.221";"10.222";"10.223";"10.224";"10.225";"10.229";"10.226";"10.227";"10.205";"10.205.37";"10.205.38";"10.205.69";"10.205.31";"10.205.28";"10.205.27";"10.229.16";"10.229.17";"10.229.18";"10.229.19";"10.229.20";"10.229.21";"10.229.25";"10.229.26"},K20)))),"SCT SI - OCD",""))))))</f>
        <v/>
      </c>
      <c r="W20" s="18"/>
    </row>
    <row r="21" spans="1:23" ht="15.3" x14ac:dyDescent="0.7">
      <c r="A21" s="18"/>
      <c r="B21" s="45">
        <v>23</v>
      </c>
      <c r="C21" s="170"/>
      <c r="D21" s="47"/>
      <c r="E21" s="48"/>
      <c r="F21" s="46"/>
      <c r="G21" s="36"/>
      <c r="H21" s="46"/>
      <c r="I21" s="46"/>
      <c r="J21" s="170"/>
      <c r="K21" s="49"/>
      <c r="L21" s="36"/>
      <c r="M21" s="36"/>
      <c r="N21" s="36"/>
      <c r="O21" s="36"/>
      <c r="P21" s="159"/>
      <c r="Q21" s="40"/>
      <c r="R21" s="41"/>
      <c r="S21" s="42"/>
      <c r="T21" s="50"/>
      <c r="U21" s="131" t="str" cm="1">
        <f t="array" ref="U21">IF(E21="","",IF(OR(ISNUMBER(SEARCH({"10.205.37";"10.205.38";"10.205.69";"10.205.31";"10.205.28";"10.205.27"},E21))),"Platform-Runtime and Azure OPS",
IF(OR(ISNUMBER(SEARCH({"10.229.16";"10.229.17";"10.229.18";"10.229.19";"10.229.20";"10.229.21";"10.229.25";"10.229.26"},E21))),"SDDC",
IF(OR(ISNUMBER(SEARCH({"10.220";"10.221";"10.222";"10.223";"10.224";"10.225";"10.229";"185.130.242"},E21))),"SDDC",
IF(OR(ISNUMBER(SEARCH({"10.226";"10.227";"10.205"},E21))),"Azure OPS and SDDC",
IF(AND(NOT(ISNUMBER(SEARCH({"10.220";"10.221";"10.222";"10.223";"10.224";"10.225";"10.229";"10.226";"10.227";"10.205";"10.205.37";"10.205.38";"10.205.69";"10.205.31";"10.205.28";"10.205.27";"10.229.16";"10.229.17";"10.229.18";"10.229.19";"10.229.20";"10.229.21";"10.229.25";"10.229.26"},E21)))),"SCT SI - OCD",""))))))</f>
        <v/>
      </c>
      <c r="V21" s="127" t="str" cm="1">
        <f t="array" ref="V21">IF(K21="","",IF(OR(ISNUMBER(SEARCH({"10.205.37";"10.205.38";"10.205.69";"10.205.31";"10.205.28";"10.205.27"},K21))),"Platform-Runtime and Azure OPS",
IF(OR(ISNUMBER(SEARCH({"10.229.16";"10.229.17";"10.229.18";"10.229.19";"10.229.20";"10.229.21";"10.229.25";"10.229.26"},K21))),"SDDC",
IF(OR(ISNUMBER(SEARCH({"10.220";"10.221";"10.222";"10.223";"10.224";"10.225";"10.229";"185.130.242"},K21))),"SDDC",
IF(OR(ISNUMBER(SEARCH({"10.226";"10.227";"10.205"},K21))),"Azure OPS and SDDC",
IF(AND(NOT(ISNUMBER(SEARCH({"10.220";"10.221";"10.222";"10.223";"10.224";"10.225";"10.229";"10.226";"10.227";"10.205";"10.205.37";"10.205.38";"10.205.69";"10.205.31";"10.205.28";"10.205.27";"10.229.16";"10.229.17";"10.229.18";"10.229.19";"10.229.20";"10.229.21";"10.229.25";"10.229.26"},K21)))),"SCT SI - OCD",""))))))</f>
        <v/>
      </c>
      <c r="W21" s="126"/>
    </row>
    <row r="22" spans="1:23" ht="15.3" x14ac:dyDescent="0.7">
      <c r="A22" s="18"/>
      <c r="B22" s="45">
        <v>24</v>
      </c>
      <c r="C22" s="170"/>
      <c r="D22" s="47"/>
      <c r="E22" s="48"/>
      <c r="F22" s="46"/>
      <c r="G22" s="36"/>
      <c r="H22" s="46"/>
      <c r="I22" s="46"/>
      <c r="J22" s="170"/>
      <c r="K22" s="49"/>
      <c r="L22" s="36"/>
      <c r="M22" s="36"/>
      <c r="N22" s="36"/>
      <c r="O22" s="36"/>
      <c r="P22" s="159"/>
      <c r="Q22" s="40"/>
      <c r="R22" s="41" t="s">
        <v>47</v>
      </c>
      <c r="S22" s="42"/>
      <c r="T22" s="50"/>
      <c r="U22" s="131" t="str" cm="1">
        <f t="array" ref="U22">IF(E22="","",IF(OR(ISNUMBER(SEARCH({"10.205.37";"10.205.38";"10.205.69";"10.205.31";"10.205.28";"10.205.27"},E22))),"Platform-Runtime and Azure OPS",
IF(OR(ISNUMBER(SEARCH({"10.229.16";"10.229.17";"10.229.18";"10.229.19";"10.229.20";"10.229.21";"10.229.25";"10.229.26"},E22))),"SDDC",
IF(OR(ISNUMBER(SEARCH({"10.220";"10.221";"10.222";"10.223";"10.224";"10.225";"10.229";"185.130.242"},E22))),"SDDC",
IF(OR(ISNUMBER(SEARCH({"10.226";"10.227";"10.205"},E22))),"Azure OPS and SDDC",
IF(AND(NOT(ISNUMBER(SEARCH({"10.220";"10.221";"10.222";"10.223";"10.224";"10.225";"10.229";"10.226";"10.227";"10.205";"10.205.37";"10.205.38";"10.205.69";"10.205.31";"10.205.28";"10.205.27";"10.229.16";"10.229.17";"10.229.18";"10.229.19";"10.229.20";"10.229.21";"10.229.25";"10.229.26"},E22)))),"SCT SI - OCD",""))))))</f>
        <v/>
      </c>
      <c r="V22" s="127" t="str" cm="1">
        <f t="array" ref="V22">IF(K22="","",IF(OR(ISNUMBER(SEARCH({"10.205.37";"10.205.38";"10.205.69";"10.205.31";"10.205.28";"10.205.27"},K22))),"Platform-Runtime and Azure OPS",
IF(OR(ISNUMBER(SEARCH({"10.229.16";"10.229.17";"10.229.18";"10.229.19";"10.229.20";"10.229.21";"10.229.25";"10.229.26"},K22))),"SDDC",
IF(OR(ISNUMBER(SEARCH({"10.220";"10.221";"10.222";"10.223";"10.224";"10.225";"10.229";"185.130.242"},K22))),"SDDC",
IF(OR(ISNUMBER(SEARCH({"10.226";"10.227";"10.205"},K22))),"Azure OPS and SDDC",
IF(AND(NOT(ISNUMBER(SEARCH({"10.220";"10.221";"10.222";"10.223";"10.224";"10.225";"10.229";"10.226";"10.227";"10.205";"10.205.37";"10.205.38";"10.205.69";"10.205.31";"10.205.28";"10.205.27";"10.229.16";"10.229.17";"10.229.18";"10.229.19";"10.229.20";"10.229.21";"10.229.25";"10.229.26"},K22)))),"SCT SI - OCD",""))))))</f>
        <v/>
      </c>
      <c r="W22" s="126"/>
    </row>
    <row r="23" spans="1:23" ht="15.3" x14ac:dyDescent="0.7">
      <c r="A23" s="18"/>
      <c r="B23" s="45">
        <v>25</v>
      </c>
      <c r="C23" s="170"/>
      <c r="D23" s="47"/>
      <c r="E23" s="48"/>
      <c r="F23" s="46"/>
      <c r="G23" s="36"/>
      <c r="H23" s="46"/>
      <c r="I23" s="46"/>
      <c r="J23" s="170"/>
      <c r="K23" s="49"/>
      <c r="L23" s="36"/>
      <c r="M23" s="36"/>
      <c r="N23" s="36"/>
      <c r="O23" s="36"/>
      <c r="P23" s="159"/>
      <c r="Q23" s="40"/>
      <c r="R23" s="41" t="s">
        <v>47</v>
      </c>
      <c r="S23" s="42"/>
      <c r="T23" s="50"/>
      <c r="U23" s="131" t="str" cm="1">
        <f t="array" ref="U23">IF(E23="","",IF(OR(ISNUMBER(SEARCH({"10.205.37";"10.205.38";"10.205.69";"10.205.31";"10.205.28";"10.205.27"},E23))),"Platform-Runtime and Azure OPS",
IF(OR(ISNUMBER(SEARCH({"10.229.16";"10.229.17";"10.229.18";"10.229.19";"10.229.20";"10.229.21";"10.229.25";"10.229.26"},E23))),"SDDC",
IF(OR(ISNUMBER(SEARCH({"10.220";"10.221";"10.222";"10.223";"10.224";"10.225";"10.229";"185.130.242"},E23))),"SDDC",
IF(OR(ISNUMBER(SEARCH({"10.226";"10.227";"10.205"},E23))),"Azure OPS and SDDC",
IF(AND(NOT(ISNUMBER(SEARCH({"10.220";"10.221";"10.222";"10.223";"10.224";"10.225";"10.229";"10.226";"10.227";"10.205";"10.205.37";"10.205.38";"10.205.69";"10.205.31";"10.205.28";"10.205.27";"10.229.16";"10.229.17";"10.229.18";"10.229.19";"10.229.20";"10.229.21";"10.229.25";"10.229.26"},E23)))),"SCT SI - OCD",""))))))</f>
        <v/>
      </c>
      <c r="V23" s="127" t="str" cm="1">
        <f t="array" ref="V23">IF(K23="","",IF(OR(ISNUMBER(SEARCH({"10.205.37";"10.205.38";"10.205.69";"10.205.31";"10.205.28";"10.205.27"},K23))),"Platform-Runtime and Azure OPS",
IF(OR(ISNUMBER(SEARCH({"10.229.16";"10.229.17";"10.229.18";"10.229.19";"10.229.20";"10.229.21";"10.229.25";"10.229.26"},K23))),"SDDC",
IF(OR(ISNUMBER(SEARCH({"10.220";"10.221";"10.222";"10.223";"10.224";"10.225";"10.229";"185.130.242"},K23))),"SDDC",
IF(OR(ISNUMBER(SEARCH({"10.226";"10.227";"10.205"},K23))),"Azure OPS and SDDC",
IF(AND(NOT(ISNUMBER(SEARCH({"10.220";"10.221";"10.222";"10.223";"10.224";"10.225";"10.229";"10.226";"10.227";"10.205";"10.205.37";"10.205.38";"10.205.69";"10.205.31";"10.205.28";"10.205.27";"10.229.16";"10.229.17";"10.229.18";"10.229.19";"10.229.20";"10.229.21";"10.229.25";"10.229.26"},K23)))),"SCT SI - OCD",""))))))</f>
        <v/>
      </c>
      <c r="W23" s="18"/>
    </row>
    <row r="24" spans="1:23" ht="15.3" x14ac:dyDescent="0.7">
      <c r="A24" s="18"/>
      <c r="B24" s="45">
        <v>26</v>
      </c>
      <c r="C24" s="170"/>
      <c r="D24" s="47"/>
      <c r="E24" s="48"/>
      <c r="F24" s="36"/>
      <c r="G24" s="36"/>
      <c r="H24" s="46"/>
      <c r="I24" s="46"/>
      <c r="J24" s="170"/>
      <c r="K24" s="49"/>
      <c r="L24" s="51"/>
      <c r="M24" s="36"/>
      <c r="N24" s="36"/>
      <c r="O24" s="36"/>
      <c r="P24" s="159"/>
      <c r="Q24" s="40"/>
      <c r="R24" s="41" t="s">
        <v>47</v>
      </c>
      <c r="S24" s="42"/>
      <c r="T24" s="50"/>
      <c r="U24" s="131" t="str" cm="1">
        <f t="array" ref="U24">IF(E24="","",IF(OR(ISNUMBER(SEARCH({"10.205.37";"10.205.38";"10.205.69";"10.205.31";"10.205.28";"10.205.27"},E24))),"Platform-Runtime and Azure OPS",
IF(OR(ISNUMBER(SEARCH({"10.229.16";"10.229.17";"10.229.18";"10.229.19";"10.229.20";"10.229.21";"10.229.25";"10.229.26"},E24))),"SDDC",
IF(OR(ISNUMBER(SEARCH({"10.220";"10.221";"10.222";"10.223";"10.224";"10.225";"10.229";"185.130.242"},E24))),"SDDC",
IF(OR(ISNUMBER(SEARCH({"10.226";"10.227";"10.205"},E24))),"Azure OPS and SDDC",
IF(AND(NOT(ISNUMBER(SEARCH({"10.220";"10.221";"10.222";"10.223";"10.224";"10.225";"10.229";"10.226";"10.227";"10.205";"10.205.37";"10.205.38";"10.205.69";"10.205.31";"10.205.28";"10.205.27";"10.229.16";"10.229.17";"10.229.18";"10.229.19";"10.229.20";"10.229.21";"10.229.25";"10.229.26"},E24)))),"SCT SI - OCD",""))))))</f>
        <v/>
      </c>
      <c r="V24" s="127" t="str" cm="1">
        <f t="array" ref="V24">IF(K24="","",IF(OR(ISNUMBER(SEARCH({"10.205.37";"10.205.38";"10.205.69";"10.205.31";"10.205.28";"10.205.27"},K24))),"Platform-Runtime and Azure OPS",
IF(OR(ISNUMBER(SEARCH({"10.229.16";"10.229.17";"10.229.18";"10.229.19";"10.229.20";"10.229.21";"10.229.25";"10.229.26"},K24))),"SDDC",
IF(OR(ISNUMBER(SEARCH({"10.220";"10.221";"10.222";"10.223";"10.224";"10.225";"10.229";"185.130.242"},K24))),"SDDC",
IF(OR(ISNUMBER(SEARCH({"10.226";"10.227";"10.205"},K24))),"Azure OPS and SDDC",
IF(AND(NOT(ISNUMBER(SEARCH({"10.220";"10.221";"10.222";"10.223";"10.224";"10.225";"10.229";"10.226";"10.227";"10.205";"10.205.37";"10.205.38";"10.205.69";"10.205.31";"10.205.28";"10.205.27";"10.229.16";"10.229.17";"10.229.18";"10.229.19";"10.229.20";"10.229.21";"10.229.25";"10.229.26"},K24)))),"SCT SI - OCD",""))))))</f>
        <v/>
      </c>
      <c r="W24" s="18"/>
    </row>
    <row r="25" spans="1:23" ht="15.3" x14ac:dyDescent="0.7">
      <c r="A25" s="18"/>
      <c r="B25" s="45">
        <v>27</v>
      </c>
      <c r="C25" s="170"/>
      <c r="D25" s="47"/>
      <c r="E25" s="48"/>
      <c r="F25" s="46"/>
      <c r="G25" s="36"/>
      <c r="H25" s="46"/>
      <c r="I25" s="46"/>
      <c r="J25" s="170"/>
      <c r="K25" s="49"/>
      <c r="L25" s="36"/>
      <c r="M25" s="36"/>
      <c r="N25" s="36"/>
      <c r="O25" s="36"/>
      <c r="P25" s="159"/>
      <c r="Q25" s="40"/>
      <c r="R25" s="41" t="s">
        <v>47</v>
      </c>
      <c r="S25" s="42"/>
      <c r="T25" s="50"/>
      <c r="U25" s="131" t="str" cm="1">
        <f t="array" ref="U25">IF(E25="","",IF(OR(ISNUMBER(SEARCH({"10.205.37";"10.205.38";"10.205.69";"10.205.31";"10.205.28";"10.205.27"},E25))),"Platform-Runtime and Azure OPS",
IF(OR(ISNUMBER(SEARCH({"10.229.16";"10.229.17";"10.229.18";"10.229.19";"10.229.20";"10.229.21";"10.229.25";"10.229.26"},E25))),"SDDC",
IF(OR(ISNUMBER(SEARCH({"10.220";"10.221";"10.222";"10.223";"10.224";"10.225";"10.229";"185.130.242"},E25))),"SDDC",
IF(OR(ISNUMBER(SEARCH({"10.226";"10.227";"10.205"},E25))),"Azure OPS and SDDC",
IF(AND(NOT(ISNUMBER(SEARCH({"10.220";"10.221";"10.222";"10.223";"10.224";"10.225";"10.229";"10.226";"10.227";"10.205";"10.205.37";"10.205.38";"10.205.69";"10.205.31";"10.205.28";"10.205.27";"10.229.16";"10.229.17";"10.229.18";"10.229.19";"10.229.20";"10.229.21";"10.229.25";"10.229.26"},E25)))),"SCT SI - OCD",""))))))</f>
        <v/>
      </c>
      <c r="V25" s="127" t="str" cm="1">
        <f t="array" ref="V25">IF(K25="","",IF(OR(ISNUMBER(SEARCH({"10.205.37";"10.205.38";"10.205.69";"10.205.31";"10.205.28";"10.205.27"},K25))),"Platform-Runtime and Azure OPS",
IF(OR(ISNUMBER(SEARCH({"10.229.16";"10.229.17";"10.229.18";"10.229.19";"10.229.20";"10.229.21";"10.229.25";"10.229.26"},K25))),"SDDC",
IF(OR(ISNUMBER(SEARCH({"10.220";"10.221";"10.222";"10.223";"10.224";"10.225";"10.229";"185.130.242"},K25))),"SDDC",
IF(OR(ISNUMBER(SEARCH({"10.226";"10.227";"10.205"},K25))),"Azure OPS and SDDC",
IF(AND(NOT(ISNUMBER(SEARCH({"10.220";"10.221";"10.222";"10.223";"10.224";"10.225";"10.229";"10.226";"10.227";"10.205";"10.205.37";"10.205.38";"10.205.69";"10.205.31";"10.205.28";"10.205.27";"10.229.16";"10.229.17";"10.229.18";"10.229.19";"10.229.20";"10.229.21";"10.229.25";"10.229.26"},K25)))),"SCT SI - OCD",""))))))</f>
        <v/>
      </c>
      <c r="W25" s="126"/>
    </row>
    <row r="26" spans="1:23" ht="15.3" x14ac:dyDescent="0.7">
      <c r="A26" s="18"/>
      <c r="B26" s="45">
        <v>28</v>
      </c>
      <c r="C26" s="170"/>
      <c r="D26" s="47"/>
      <c r="E26" s="48"/>
      <c r="F26" s="46"/>
      <c r="G26" s="36"/>
      <c r="H26" s="46"/>
      <c r="I26" s="46"/>
      <c r="J26" s="170"/>
      <c r="K26" s="49"/>
      <c r="L26" s="36"/>
      <c r="M26" s="36"/>
      <c r="N26" s="36"/>
      <c r="O26" s="36"/>
      <c r="P26" s="159"/>
      <c r="Q26" s="40"/>
      <c r="R26" s="41" t="s">
        <v>47</v>
      </c>
      <c r="S26" s="42"/>
      <c r="T26" s="50"/>
      <c r="U26" s="131" t="str" cm="1">
        <f t="array" ref="U26">IF(E26="","",IF(OR(ISNUMBER(SEARCH({"10.205.37";"10.205.38";"10.205.69";"10.205.31";"10.205.28";"10.205.27"},E26))),"Platform-Runtime and Azure OPS",
IF(OR(ISNUMBER(SEARCH({"10.229.16";"10.229.17";"10.229.18";"10.229.19";"10.229.20";"10.229.21";"10.229.25";"10.229.26"},E26))),"SDDC",
IF(OR(ISNUMBER(SEARCH({"10.220";"10.221";"10.222";"10.223";"10.224";"10.225";"10.229";"185.130.242"},E26))),"SDDC",
IF(OR(ISNUMBER(SEARCH({"10.226";"10.227";"10.205"},E26))),"Azure OPS and SDDC",
IF(AND(NOT(ISNUMBER(SEARCH({"10.220";"10.221";"10.222";"10.223";"10.224";"10.225";"10.229";"10.226";"10.227";"10.205";"10.205.37";"10.205.38";"10.205.69";"10.205.31";"10.205.28";"10.205.27";"10.229.16";"10.229.17";"10.229.18";"10.229.19";"10.229.20";"10.229.21";"10.229.25";"10.229.26"},E26)))),"SCT SI - OCD",""))))))</f>
        <v/>
      </c>
      <c r="V26" s="127" t="str" cm="1">
        <f t="array" ref="V26">IF(K26="","",IF(OR(ISNUMBER(SEARCH({"10.205.37";"10.205.38";"10.205.69";"10.205.31";"10.205.28";"10.205.27"},K26))),"Platform-Runtime and Azure OPS",
IF(OR(ISNUMBER(SEARCH({"10.229.16";"10.229.17";"10.229.18";"10.229.19";"10.229.20";"10.229.21";"10.229.25";"10.229.26"},K26))),"SDDC",
IF(OR(ISNUMBER(SEARCH({"10.220";"10.221";"10.222";"10.223";"10.224";"10.225";"10.229";"185.130.242"},K26))),"SDDC",
IF(OR(ISNUMBER(SEARCH({"10.226";"10.227";"10.205"},K26))),"Azure OPS and SDDC",
IF(AND(NOT(ISNUMBER(SEARCH({"10.220";"10.221";"10.222";"10.223";"10.224";"10.225";"10.229";"10.226";"10.227";"10.205";"10.205.37";"10.205.38";"10.205.69";"10.205.31";"10.205.28";"10.205.27";"10.229.16";"10.229.17";"10.229.18";"10.229.19";"10.229.20";"10.229.21";"10.229.25";"10.229.26"},K26)))),"SCT SI - OCD",""))))))</f>
        <v/>
      </c>
      <c r="W26" s="18"/>
    </row>
    <row r="27" spans="1:23" ht="15.3" x14ac:dyDescent="0.7">
      <c r="A27" s="18"/>
      <c r="B27" s="45">
        <v>29</v>
      </c>
      <c r="C27" s="170"/>
      <c r="D27" s="47"/>
      <c r="E27" s="48"/>
      <c r="F27" s="46"/>
      <c r="G27" s="36"/>
      <c r="H27" s="46"/>
      <c r="I27" s="46"/>
      <c r="J27" s="170"/>
      <c r="K27" s="49"/>
      <c r="L27" s="36"/>
      <c r="M27" s="36"/>
      <c r="N27" s="36"/>
      <c r="O27" s="36"/>
      <c r="P27" s="159"/>
      <c r="Q27" s="40"/>
      <c r="R27" s="41" t="s">
        <v>47</v>
      </c>
      <c r="S27" s="42"/>
      <c r="T27" s="50"/>
      <c r="U27" s="131" t="str" cm="1">
        <f t="array" ref="U27">IF(E27="","",IF(OR(ISNUMBER(SEARCH({"10.205.37";"10.205.38";"10.205.69";"10.205.31";"10.205.28";"10.205.27"},E27))),"Platform-Runtime and Azure OPS",
IF(OR(ISNUMBER(SEARCH({"10.229.16";"10.229.17";"10.229.18";"10.229.19";"10.229.20";"10.229.21";"10.229.25";"10.229.26"},E27))),"SDDC",
IF(OR(ISNUMBER(SEARCH({"10.220";"10.221";"10.222";"10.223";"10.224";"10.225";"10.229";"185.130.242"},E27))),"SDDC",
IF(OR(ISNUMBER(SEARCH({"10.226";"10.227";"10.205"},E27))),"Azure OPS and SDDC",
IF(AND(NOT(ISNUMBER(SEARCH({"10.220";"10.221";"10.222";"10.223";"10.224";"10.225";"10.229";"10.226";"10.227";"10.205";"10.205.37";"10.205.38";"10.205.69";"10.205.31";"10.205.28";"10.205.27";"10.229.16";"10.229.17";"10.229.18";"10.229.19";"10.229.20";"10.229.21";"10.229.25";"10.229.26"},E27)))),"SCT SI - OCD",""))))))</f>
        <v/>
      </c>
      <c r="V27" s="127" t="str" cm="1">
        <f t="array" ref="V27">IF(K27="","",IF(OR(ISNUMBER(SEARCH({"10.205.37";"10.205.38";"10.205.69";"10.205.31";"10.205.28";"10.205.27"},K27))),"Platform-Runtime and Azure OPS",
IF(OR(ISNUMBER(SEARCH({"10.229.16";"10.229.17";"10.229.18";"10.229.19";"10.229.20";"10.229.21";"10.229.25";"10.229.26"},K27))),"SDDC",
IF(OR(ISNUMBER(SEARCH({"10.220";"10.221";"10.222";"10.223";"10.224";"10.225";"10.229";"185.130.242"},K27))),"SDDC",
IF(OR(ISNUMBER(SEARCH({"10.226";"10.227";"10.205"},K27))),"Azure OPS and SDDC",
IF(AND(NOT(ISNUMBER(SEARCH({"10.220";"10.221";"10.222";"10.223";"10.224";"10.225";"10.229";"10.226";"10.227";"10.205";"10.205.37";"10.205.38";"10.205.69";"10.205.31";"10.205.28";"10.205.27";"10.229.16";"10.229.17";"10.229.18";"10.229.19";"10.229.20";"10.229.21";"10.229.25";"10.229.26"},K27)))),"SCT SI - OCD",""))))))</f>
        <v/>
      </c>
      <c r="W27" s="126"/>
    </row>
    <row r="28" spans="1:23" ht="15.6" thickBot="1" x14ac:dyDescent="0.75">
      <c r="A28" s="18"/>
      <c r="B28" s="52">
        <v>30</v>
      </c>
      <c r="C28" s="160"/>
      <c r="D28" s="54"/>
      <c r="E28" s="55"/>
      <c r="F28" s="53"/>
      <c r="G28" s="56"/>
      <c r="H28" s="53"/>
      <c r="I28" s="53"/>
      <c r="J28" s="160"/>
      <c r="K28" s="55"/>
      <c r="L28" s="56"/>
      <c r="M28" s="56"/>
      <c r="N28" s="53"/>
      <c r="O28" s="53"/>
      <c r="P28" s="160"/>
      <c r="Q28" s="53"/>
      <c r="R28" s="57" t="s">
        <v>47</v>
      </c>
      <c r="S28" s="42"/>
      <c r="T28" s="50"/>
      <c r="U28" s="132" t="str" cm="1">
        <f t="array" ref="U28">IF(E28="","",IF(OR(ISNUMBER(SEARCH({"10.205.37";"10.205.38";"10.205.69";"10.205.31";"10.205.28";"10.205.27"},E28))),"Platform-Runtime and Azure OPS",
IF(OR(ISNUMBER(SEARCH({"10.229.16";"10.229.17";"10.229.18";"10.229.19";"10.229.20";"10.229.21";"10.229.25";"10.229.26"},E28))),"SDDC",
IF(OR(ISNUMBER(SEARCH({"10.220";"10.221";"10.222";"10.223";"10.224";"10.225";"10.229";"185.130.242"},E28))),"SDDC",
IF(OR(ISNUMBER(SEARCH({"10.226";"10.227";"10.205"},E28))),"Azure OPS and SDDC",
IF(AND(NOT(ISNUMBER(SEARCH({"10.220";"10.221";"10.222";"10.223";"10.224";"10.225";"10.229";"10.226";"10.227";"10.205";"10.205.37";"10.205.38";"10.205.69";"10.205.31";"10.205.28";"10.205.27";"10.229.16";"10.229.17";"10.229.18";"10.229.19";"10.229.20";"10.229.21";"10.229.25";"10.229.26"},E28)))),"SCT SI - OCD",""))))))</f>
        <v/>
      </c>
      <c r="V28" s="128" t="str" cm="1">
        <f t="array" ref="V28">IF(K28="","",IF(OR(ISNUMBER(SEARCH({"10.205.37";"10.205.38";"10.205.69";"10.205.31";"10.205.28";"10.205.27"},K28))),"Platform-Runtime and Azure OPS",
IF(OR(ISNUMBER(SEARCH({"10.229.16";"10.229.17";"10.229.18";"10.229.19";"10.229.20";"10.229.21";"10.229.25";"10.229.26"},K28))),"SDDC",
IF(OR(ISNUMBER(SEARCH({"10.220";"10.221";"10.222";"10.223";"10.224";"10.225";"10.229";"185.130.242"},K28))),"SDDC",
IF(OR(ISNUMBER(SEARCH({"10.226";"10.227";"10.205"},K28))),"Azure OPS and SDDC",
IF(AND(NOT(ISNUMBER(SEARCH({"10.220";"10.221";"10.222";"10.223";"10.224";"10.225";"10.229";"10.226";"10.227";"10.205";"10.205.37";"10.205.38";"10.205.69";"10.205.31";"10.205.28";"10.205.27";"10.229.16";"10.229.17";"10.229.18";"10.229.19";"10.229.20";"10.229.21";"10.229.25";"10.229.26"},K28)))),"SCT SI - OCD",""))))))</f>
        <v/>
      </c>
      <c r="W28" s="18"/>
    </row>
    <row r="29" spans="1:23" ht="15.3" x14ac:dyDescent="0.7">
      <c r="A29" s="18"/>
      <c r="B29" s="18"/>
      <c r="C29" s="18"/>
      <c r="D29" s="18"/>
      <c r="E29" s="18"/>
      <c r="F29" s="18"/>
      <c r="G29" s="18"/>
      <c r="H29" s="18"/>
      <c r="I29" s="18"/>
      <c r="J29" s="18"/>
      <c r="K29" s="18"/>
      <c r="L29" s="18"/>
      <c r="M29" s="18"/>
      <c r="N29" s="18"/>
      <c r="O29" s="18"/>
      <c r="P29" s="18"/>
      <c r="Q29" s="18"/>
      <c r="R29" s="18"/>
      <c r="S29" s="18"/>
      <c r="T29" s="18"/>
      <c r="U29" s="18"/>
      <c r="V29" s="18"/>
      <c r="W29" s="18"/>
    </row>
    <row r="30" spans="1:23" ht="15.6" thickBot="1" x14ac:dyDescent="0.75">
      <c r="A30" s="18"/>
      <c r="B30" s="58"/>
      <c r="C30" s="18"/>
      <c r="D30" s="58"/>
      <c r="E30" s="58"/>
      <c r="F30" s="58"/>
      <c r="G30" s="18"/>
      <c r="H30" s="18"/>
      <c r="I30" s="18"/>
      <c r="J30" s="18"/>
      <c r="K30" s="18"/>
      <c r="L30" s="18"/>
      <c r="M30" s="18"/>
      <c r="N30" s="18"/>
      <c r="O30" s="18"/>
      <c r="P30" s="18"/>
      <c r="Q30" s="18"/>
      <c r="R30" s="18"/>
      <c r="S30" s="18"/>
      <c r="T30" s="18"/>
      <c r="U30" s="18"/>
      <c r="V30" s="18"/>
      <c r="W30" s="18"/>
    </row>
    <row r="31" spans="1:23" ht="16.5" x14ac:dyDescent="0.7">
      <c r="A31" s="18"/>
      <c r="B31" s="153" t="s">
        <v>114</v>
      </c>
      <c r="C31" s="156"/>
      <c r="D31" s="154"/>
      <c r="E31" s="154"/>
      <c r="F31" s="154"/>
      <c r="G31" s="59"/>
      <c r="H31" s="59"/>
      <c r="I31" s="59"/>
      <c r="J31" s="59"/>
      <c r="K31" s="60"/>
      <c r="L31" s="60"/>
      <c r="M31" s="135"/>
      <c r="N31" s="18"/>
      <c r="O31" s="18"/>
      <c r="P31" s="18"/>
      <c r="Q31" s="18"/>
      <c r="R31" s="18"/>
      <c r="S31" s="18"/>
      <c r="T31" s="18"/>
      <c r="U31" s="18"/>
      <c r="V31" s="18"/>
      <c r="W31" s="18"/>
    </row>
    <row r="32" spans="1:23" ht="15" customHeight="1" x14ac:dyDescent="0.7">
      <c r="A32" s="18"/>
      <c r="B32" s="202"/>
      <c r="C32" s="203"/>
      <c r="D32" s="203"/>
      <c r="E32" s="203"/>
      <c r="F32" s="203"/>
      <c r="G32" s="61"/>
      <c r="H32" s="61"/>
      <c r="I32" s="61"/>
      <c r="J32" s="61"/>
      <c r="K32" s="61"/>
      <c r="L32" s="61"/>
      <c r="M32" s="62"/>
      <c r="N32" s="18"/>
      <c r="O32" s="18"/>
      <c r="P32" s="18"/>
      <c r="Q32" s="18"/>
      <c r="R32" s="18"/>
      <c r="S32" s="18"/>
      <c r="T32" s="18"/>
      <c r="U32" s="18"/>
      <c r="V32" s="18"/>
      <c r="W32" s="18"/>
    </row>
    <row r="33" spans="1:23" ht="16.5" x14ac:dyDescent="0.75">
      <c r="A33" s="18"/>
      <c r="B33" s="202"/>
      <c r="C33" s="203"/>
      <c r="D33" s="203"/>
      <c r="E33" s="203"/>
      <c r="F33" s="203"/>
      <c r="G33" s="61"/>
      <c r="H33" s="61"/>
      <c r="I33" s="61"/>
      <c r="J33" s="61"/>
      <c r="K33" s="61"/>
      <c r="L33" s="61"/>
      <c r="M33" s="62"/>
      <c r="N33" s="18"/>
      <c r="O33" s="18"/>
      <c r="P33" s="18"/>
      <c r="Q33" s="18"/>
      <c r="R33" s="18"/>
      <c r="S33" s="63"/>
      <c r="T33" s="18"/>
      <c r="U33" s="18"/>
      <c r="V33" s="18"/>
      <c r="W33" s="18"/>
    </row>
    <row r="34" spans="1:23" ht="16.5" customHeight="1" x14ac:dyDescent="0.75">
      <c r="A34" s="18"/>
      <c r="B34" s="202"/>
      <c r="C34" s="203"/>
      <c r="D34" s="203"/>
      <c r="E34" s="203"/>
      <c r="F34" s="203"/>
      <c r="G34" s="61"/>
      <c r="H34" s="61"/>
      <c r="I34" s="61"/>
      <c r="J34" s="61"/>
      <c r="K34" s="61"/>
      <c r="L34" s="61"/>
      <c r="M34" s="62"/>
      <c r="N34" s="18"/>
      <c r="O34" s="18"/>
      <c r="P34" s="18"/>
      <c r="Q34" s="18"/>
      <c r="R34" s="18"/>
      <c r="S34" s="63"/>
      <c r="T34" s="18"/>
      <c r="U34" s="18"/>
      <c r="V34" s="18"/>
      <c r="W34" s="18"/>
    </row>
    <row r="35" spans="1:23" ht="16.5" x14ac:dyDescent="0.75">
      <c r="A35" s="18"/>
      <c r="B35" s="157" t="s">
        <v>115</v>
      </c>
      <c r="C35" s="157"/>
      <c r="D35" s="157"/>
      <c r="E35" s="157"/>
      <c r="F35" s="157"/>
      <c r="G35" s="61"/>
      <c r="H35" s="61"/>
      <c r="I35" s="61"/>
      <c r="J35" s="61"/>
      <c r="K35" s="61"/>
      <c r="L35" s="61"/>
      <c r="M35" s="62"/>
      <c r="N35" s="18"/>
      <c r="O35" s="18"/>
      <c r="P35" s="18"/>
      <c r="Q35" s="18"/>
      <c r="R35" s="18"/>
      <c r="S35" s="63"/>
      <c r="T35" s="18"/>
      <c r="U35" s="18"/>
      <c r="V35" s="18"/>
      <c r="W35" s="18"/>
    </row>
    <row r="36" spans="1:23" ht="16.5" x14ac:dyDescent="0.75">
      <c r="A36" s="18"/>
      <c r="B36" s="200" t="s">
        <v>116</v>
      </c>
      <c r="C36" s="201"/>
      <c r="D36" s="201"/>
      <c r="E36" s="201"/>
      <c r="F36" s="201"/>
      <c r="G36" s="61"/>
      <c r="H36" s="61"/>
      <c r="I36" s="61"/>
      <c r="J36" s="61"/>
      <c r="K36" s="61"/>
      <c r="L36" s="61"/>
      <c r="M36" s="62"/>
      <c r="N36" s="18"/>
      <c r="O36" s="18"/>
      <c r="P36" s="18"/>
      <c r="Q36" s="18"/>
      <c r="R36" s="18"/>
      <c r="S36" s="63"/>
      <c r="T36" s="18"/>
      <c r="U36" s="18"/>
      <c r="V36" s="18"/>
      <c r="W36" s="18"/>
    </row>
    <row r="37" spans="1:23" ht="15.75" customHeight="1" x14ac:dyDescent="0.7">
      <c r="A37" s="18"/>
      <c r="B37" s="200"/>
      <c r="C37" s="201"/>
      <c r="D37" s="201"/>
      <c r="E37" s="201"/>
      <c r="F37" s="201"/>
      <c r="G37" s="61"/>
      <c r="H37" s="61"/>
      <c r="I37" s="61"/>
      <c r="J37" s="61"/>
      <c r="K37" s="61"/>
      <c r="L37" s="61"/>
      <c r="M37" s="62"/>
      <c r="N37" s="18"/>
      <c r="O37" s="18"/>
      <c r="P37" s="18"/>
      <c r="Q37" s="18"/>
      <c r="R37" s="18"/>
      <c r="S37" s="18"/>
      <c r="T37" s="18"/>
      <c r="U37" s="18"/>
      <c r="V37" s="18"/>
      <c r="W37" s="18"/>
    </row>
    <row r="38" spans="1:23" ht="15.3" x14ac:dyDescent="0.7">
      <c r="A38" s="18"/>
      <c r="B38" s="64" t="s">
        <v>117</v>
      </c>
      <c r="C38" s="61"/>
      <c r="D38" s="61"/>
      <c r="E38" s="61"/>
      <c r="F38" s="61"/>
      <c r="G38" s="61"/>
      <c r="H38" s="61"/>
      <c r="I38" s="61"/>
      <c r="J38" s="61"/>
      <c r="K38" s="61"/>
      <c r="L38" s="61"/>
      <c r="M38" s="62"/>
      <c r="N38" s="18"/>
      <c r="O38" s="18"/>
      <c r="P38" s="18"/>
      <c r="Q38" s="18"/>
      <c r="R38" s="18"/>
      <c r="S38" s="18"/>
      <c r="T38" s="18"/>
      <c r="U38" s="18"/>
      <c r="V38" s="18"/>
      <c r="W38" s="18"/>
    </row>
    <row r="39" spans="1:23" ht="15.6" thickBot="1" x14ac:dyDescent="0.75">
      <c r="A39" s="18"/>
      <c r="B39" s="65"/>
      <c r="C39" s="66"/>
      <c r="D39" s="66"/>
      <c r="E39" s="66"/>
      <c r="F39" s="66"/>
      <c r="G39" s="66"/>
      <c r="H39" s="66"/>
      <c r="I39" s="66"/>
      <c r="J39" s="66"/>
      <c r="K39" s="66"/>
      <c r="L39" s="66"/>
      <c r="M39" s="67"/>
      <c r="N39" s="18"/>
      <c r="O39" s="18"/>
      <c r="P39" s="18"/>
      <c r="Q39" s="18"/>
      <c r="R39" s="18"/>
      <c r="S39" s="18"/>
      <c r="T39" s="18"/>
      <c r="U39" s="18"/>
      <c r="V39" s="18"/>
      <c r="W39" s="18"/>
    </row>
    <row r="40" spans="1:23" ht="15.3" x14ac:dyDescent="0.7">
      <c r="A40" s="18"/>
      <c r="B40" s="18"/>
      <c r="C40" s="18"/>
      <c r="D40" s="18"/>
      <c r="E40" s="18"/>
      <c r="F40" s="18"/>
      <c r="G40" s="18"/>
      <c r="H40" s="18"/>
      <c r="I40" s="18"/>
      <c r="J40" s="18"/>
      <c r="K40" s="18"/>
      <c r="L40" s="18"/>
      <c r="M40" s="18"/>
      <c r="N40" s="18"/>
      <c r="O40" s="18"/>
      <c r="P40" s="18"/>
      <c r="Q40" s="18"/>
      <c r="R40" s="18"/>
      <c r="S40" s="18"/>
      <c r="T40" s="18"/>
      <c r="U40" s="18"/>
      <c r="V40" s="18"/>
      <c r="W40" s="18"/>
    </row>
    <row r="41" spans="1:23" ht="15.3" x14ac:dyDescent="0.7">
      <c r="A41" s="18"/>
      <c r="B41" s="18"/>
      <c r="C41" s="18"/>
      <c r="D41" s="18"/>
      <c r="E41" s="18"/>
      <c r="F41" s="18"/>
      <c r="G41" s="18"/>
      <c r="H41" s="18"/>
      <c r="I41" s="18"/>
      <c r="J41" s="18"/>
      <c r="K41" s="18"/>
      <c r="L41" s="18"/>
      <c r="M41" s="18"/>
      <c r="N41" s="18"/>
      <c r="O41" s="18"/>
      <c r="P41" s="18"/>
      <c r="Q41" s="18"/>
      <c r="R41" s="18"/>
      <c r="S41" s="18"/>
      <c r="T41" s="18"/>
      <c r="U41" s="18"/>
      <c r="V41" s="18"/>
      <c r="W41" s="18"/>
    </row>
    <row r="42" spans="1:23" ht="15.3" x14ac:dyDescent="0.7">
      <c r="A42" s="18"/>
      <c r="B42" s="18"/>
      <c r="C42" s="18"/>
      <c r="D42" s="18"/>
      <c r="E42" s="18"/>
      <c r="F42" s="18"/>
      <c r="G42" s="18"/>
      <c r="H42" s="18"/>
      <c r="I42" s="18"/>
      <c r="J42" s="18"/>
      <c r="K42" s="18"/>
      <c r="L42" s="18"/>
      <c r="M42" s="18"/>
      <c r="N42" s="18"/>
      <c r="O42" s="18"/>
      <c r="P42" s="18"/>
      <c r="Q42" s="18"/>
      <c r="R42" s="18"/>
      <c r="S42" s="18"/>
      <c r="T42" s="18"/>
      <c r="U42" s="18"/>
      <c r="V42" s="18"/>
      <c r="W42" s="18"/>
    </row>
    <row r="43" spans="1:23" ht="15.3" x14ac:dyDescent="0.7">
      <c r="A43" s="18"/>
      <c r="B43" s="18"/>
      <c r="C43" s="18"/>
      <c r="D43" s="18"/>
      <c r="E43" s="18"/>
      <c r="F43" s="18"/>
      <c r="G43" s="18"/>
      <c r="H43" s="18"/>
      <c r="I43" s="18"/>
      <c r="J43" s="18"/>
      <c r="K43" s="18"/>
      <c r="L43" s="18"/>
      <c r="M43" s="18"/>
      <c r="N43" s="18"/>
      <c r="O43" s="18"/>
      <c r="P43" s="18"/>
      <c r="Q43" s="18"/>
      <c r="R43" s="18"/>
      <c r="S43" s="18"/>
      <c r="T43" s="18"/>
      <c r="U43" s="18"/>
      <c r="V43" s="18"/>
      <c r="W43" s="18"/>
    </row>
    <row r="44" spans="1:23" ht="15.3" x14ac:dyDescent="0.7">
      <c r="A44" s="18"/>
      <c r="B44" s="18"/>
      <c r="C44" s="18"/>
      <c r="D44" s="18"/>
      <c r="E44" s="18"/>
      <c r="F44" s="18"/>
      <c r="G44" s="18"/>
      <c r="H44" s="18"/>
      <c r="I44" s="18"/>
      <c r="J44" s="18"/>
      <c r="K44" s="18"/>
      <c r="L44" s="18"/>
      <c r="M44" s="18"/>
      <c r="N44" s="18"/>
      <c r="O44" s="18"/>
      <c r="P44" s="18"/>
      <c r="Q44" s="18"/>
      <c r="R44" s="18"/>
      <c r="S44" s="18"/>
      <c r="T44" s="18"/>
      <c r="U44" s="18"/>
      <c r="V44" s="18"/>
      <c r="W44" s="18"/>
    </row>
    <row r="45" spans="1:23" ht="15.3" x14ac:dyDescent="0.7">
      <c r="A45" s="18"/>
      <c r="B45" s="18"/>
      <c r="C45" s="18"/>
      <c r="D45" s="18"/>
      <c r="E45" s="18"/>
      <c r="F45" s="18"/>
      <c r="G45" s="18"/>
      <c r="H45" s="18"/>
      <c r="I45" s="18"/>
      <c r="J45" s="18"/>
      <c r="K45" s="18"/>
      <c r="L45" s="18"/>
      <c r="M45" s="18"/>
      <c r="N45" s="18"/>
      <c r="O45" s="18"/>
      <c r="P45" s="18"/>
      <c r="Q45" s="18"/>
      <c r="R45" s="18"/>
      <c r="S45" s="18"/>
      <c r="T45" s="18"/>
      <c r="U45" s="18"/>
      <c r="V45" s="18"/>
      <c r="W45" s="18"/>
    </row>
    <row r="46" spans="1:23" ht="15.3" x14ac:dyDescent="0.7">
      <c r="A46" s="18"/>
      <c r="B46" s="18"/>
      <c r="C46" s="18"/>
      <c r="D46" s="18"/>
      <c r="E46" s="18"/>
      <c r="F46" s="18"/>
      <c r="G46" s="18"/>
      <c r="H46" s="18"/>
      <c r="I46" s="18"/>
      <c r="J46" s="18"/>
      <c r="K46" s="18"/>
      <c r="L46" s="18"/>
      <c r="M46" s="18"/>
      <c r="N46" s="18"/>
      <c r="O46" s="18"/>
      <c r="P46" s="18"/>
      <c r="Q46" s="18"/>
      <c r="R46" s="18"/>
      <c r="S46" s="18"/>
      <c r="T46" s="18"/>
      <c r="U46" s="18"/>
      <c r="V46" s="18"/>
      <c r="W46" s="18"/>
    </row>
    <row r="47" spans="1:23" ht="15.3" x14ac:dyDescent="0.7">
      <c r="A47" s="18"/>
      <c r="B47" s="18"/>
      <c r="C47" s="18"/>
      <c r="D47" s="18"/>
      <c r="E47" s="18"/>
      <c r="F47" s="18"/>
      <c r="G47" s="18"/>
      <c r="H47" s="18"/>
      <c r="I47" s="18"/>
      <c r="J47" s="18"/>
      <c r="K47" s="18"/>
      <c r="L47" s="18"/>
      <c r="M47" s="18"/>
      <c r="N47" s="18"/>
      <c r="O47" s="18"/>
      <c r="P47" s="18"/>
      <c r="Q47" s="18"/>
      <c r="R47" s="18"/>
      <c r="S47" s="18"/>
      <c r="T47" s="18"/>
      <c r="U47" s="18"/>
      <c r="V47" s="18"/>
      <c r="W47" s="18"/>
    </row>
    <row r="48" spans="1:23" ht="15.3" x14ac:dyDescent="0.7">
      <c r="A48" s="18"/>
      <c r="B48" s="18"/>
      <c r="C48" s="18"/>
      <c r="D48" s="18"/>
      <c r="E48" s="18"/>
      <c r="F48" s="18"/>
      <c r="G48" s="18"/>
      <c r="H48" s="18"/>
      <c r="I48" s="18"/>
      <c r="J48" s="18"/>
      <c r="K48" s="18"/>
      <c r="L48" s="18"/>
      <c r="M48" s="18"/>
      <c r="N48" s="18"/>
      <c r="O48" s="18"/>
      <c r="P48" s="18"/>
      <c r="Q48" s="18"/>
      <c r="R48" s="18"/>
      <c r="S48" s="18"/>
      <c r="T48" s="18"/>
      <c r="U48" s="18"/>
      <c r="V48" s="18"/>
      <c r="W48" s="18"/>
    </row>
    <row r="49" spans="1:23" ht="15.3" x14ac:dyDescent="0.7">
      <c r="A49" s="18"/>
      <c r="B49" s="18"/>
      <c r="C49" s="18"/>
      <c r="D49" s="18"/>
      <c r="E49" s="18"/>
      <c r="F49" s="18"/>
      <c r="G49" s="18"/>
      <c r="H49" s="18"/>
      <c r="I49" s="18"/>
      <c r="J49" s="18"/>
      <c r="K49" s="18"/>
      <c r="L49" s="18"/>
      <c r="M49" s="18"/>
      <c r="N49" s="18"/>
      <c r="O49" s="18"/>
      <c r="P49" s="18"/>
      <c r="Q49" s="18"/>
      <c r="R49" s="18"/>
      <c r="S49" s="18"/>
      <c r="T49" s="18"/>
      <c r="U49" s="18"/>
      <c r="V49" s="18"/>
      <c r="W49" s="18"/>
    </row>
    <row r="50" spans="1:23" ht="15.3" x14ac:dyDescent="0.7">
      <c r="A50" s="18"/>
      <c r="B50" s="18"/>
      <c r="C50" s="18"/>
      <c r="D50" s="18"/>
      <c r="E50" s="18"/>
      <c r="F50" s="18"/>
      <c r="G50" s="18"/>
      <c r="H50" s="18"/>
      <c r="I50" s="18"/>
      <c r="J50" s="18"/>
      <c r="K50" s="18"/>
      <c r="L50" s="18"/>
      <c r="M50" s="18"/>
      <c r="N50" s="18"/>
      <c r="O50" s="18"/>
      <c r="P50" s="18"/>
      <c r="Q50" s="18"/>
      <c r="R50" s="18"/>
      <c r="S50" s="18"/>
      <c r="T50" s="18"/>
      <c r="U50" s="18"/>
      <c r="V50" s="18"/>
      <c r="W50" s="18"/>
    </row>
    <row r="51" spans="1:23" ht="15.3" x14ac:dyDescent="0.7">
      <c r="A51" s="18"/>
      <c r="B51" s="18"/>
      <c r="C51" s="18"/>
      <c r="D51" s="18"/>
      <c r="E51" s="18"/>
      <c r="F51" s="18"/>
      <c r="G51" s="18"/>
      <c r="H51" s="18"/>
      <c r="I51" s="18"/>
      <c r="J51" s="18"/>
      <c r="K51" s="18"/>
      <c r="L51" s="18"/>
      <c r="M51" s="18"/>
      <c r="N51" s="18"/>
      <c r="O51" s="18"/>
      <c r="P51" s="18"/>
      <c r="Q51" s="18"/>
      <c r="R51" s="18"/>
      <c r="S51" s="18"/>
      <c r="T51" s="18"/>
      <c r="U51" s="18"/>
      <c r="V51" s="18"/>
      <c r="W51" s="18"/>
    </row>
    <row r="52" spans="1:23" ht="15.3" x14ac:dyDescent="0.7">
      <c r="A52" s="18"/>
      <c r="B52" s="18"/>
      <c r="C52" s="18"/>
      <c r="D52" s="18"/>
      <c r="E52" s="18"/>
      <c r="F52" s="18"/>
      <c r="G52" s="18"/>
      <c r="H52" s="18"/>
      <c r="I52" s="18"/>
      <c r="J52" s="18"/>
      <c r="K52" s="18"/>
      <c r="L52" s="18"/>
      <c r="M52" s="18"/>
      <c r="N52" s="18"/>
      <c r="O52" s="18"/>
      <c r="P52" s="18"/>
      <c r="Q52" s="18"/>
      <c r="R52" s="18"/>
      <c r="S52" s="18"/>
      <c r="T52" s="18"/>
      <c r="U52" s="18"/>
      <c r="V52" s="18"/>
      <c r="W52" s="18"/>
    </row>
    <row r="53" spans="1:23" ht="15.3" x14ac:dyDescent="0.7">
      <c r="N53" s="11"/>
      <c r="O53" s="11"/>
      <c r="P53" s="11"/>
      <c r="Q53" s="11"/>
      <c r="R53" s="11"/>
      <c r="S53" s="11"/>
      <c r="T53" s="11"/>
      <c r="U53" s="11"/>
      <c r="V53" s="11"/>
    </row>
    <row r="54" spans="1:23" ht="15.3" x14ac:dyDescent="0.7">
      <c r="N54" s="11"/>
      <c r="O54" s="11"/>
      <c r="P54" s="11"/>
      <c r="Q54" s="11"/>
      <c r="R54" s="11"/>
      <c r="S54" s="11"/>
      <c r="T54" s="11"/>
      <c r="U54" s="11"/>
      <c r="V54" s="11"/>
    </row>
    <row r="55" spans="1:23" ht="15.3" x14ac:dyDescent="0.7">
      <c r="N55" s="11"/>
      <c r="O55" s="11"/>
      <c r="P55" s="11"/>
      <c r="Q55" s="11"/>
      <c r="R55" s="11"/>
      <c r="S55" s="11"/>
      <c r="T55" s="11"/>
      <c r="U55" s="11"/>
      <c r="V55" s="11"/>
    </row>
    <row r="56" spans="1:23" ht="15.3" x14ac:dyDescent="0.7">
      <c r="N56" s="11"/>
      <c r="O56" s="11"/>
      <c r="P56" s="11"/>
      <c r="Q56" s="11"/>
      <c r="R56" s="11"/>
      <c r="S56" s="11"/>
      <c r="T56" s="11"/>
      <c r="U56" s="11"/>
      <c r="V56" s="11"/>
    </row>
    <row r="57" spans="1:23" ht="15.3" x14ac:dyDescent="0.7">
      <c r="N57" s="11"/>
      <c r="O57" s="11"/>
      <c r="P57" s="11"/>
      <c r="Q57" s="11"/>
      <c r="R57" s="11"/>
      <c r="S57" s="11"/>
      <c r="T57" s="11"/>
      <c r="U57" s="11"/>
      <c r="V57" s="11"/>
    </row>
    <row r="58" spans="1:23" ht="15.3" x14ac:dyDescent="0.7">
      <c r="N58" s="11"/>
      <c r="O58" s="11"/>
      <c r="P58" s="11"/>
      <c r="Q58" s="11"/>
      <c r="R58" s="11"/>
      <c r="S58" s="11"/>
      <c r="T58" s="11"/>
      <c r="U58" s="11"/>
      <c r="V58" s="11"/>
    </row>
    <row r="59" spans="1:23" ht="15.3" x14ac:dyDescent="0.7">
      <c r="N59" s="11"/>
      <c r="O59" s="11"/>
      <c r="P59" s="11"/>
      <c r="Q59" s="11"/>
      <c r="R59" s="11"/>
      <c r="S59" s="11"/>
      <c r="T59" s="11"/>
      <c r="U59" s="11"/>
      <c r="V59" s="11"/>
    </row>
    <row r="60" spans="1:23" ht="15.3" x14ac:dyDescent="0.7">
      <c r="N60" s="11"/>
      <c r="O60" s="11"/>
      <c r="P60" s="11"/>
      <c r="Q60" s="11"/>
      <c r="R60" s="11"/>
      <c r="S60" s="11"/>
      <c r="T60" s="11"/>
      <c r="U60" s="11"/>
      <c r="V60" s="11"/>
    </row>
    <row r="61" spans="1:23" ht="15.3" x14ac:dyDescent="0.7">
      <c r="N61" s="11"/>
      <c r="O61" s="11"/>
      <c r="P61" s="11"/>
      <c r="Q61" s="11"/>
      <c r="R61" s="11"/>
      <c r="S61" s="11"/>
      <c r="T61" s="11"/>
      <c r="U61" s="11"/>
      <c r="V61" s="11"/>
    </row>
    <row r="62" spans="1:23" ht="15.3" x14ac:dyDescent="0.7">
      <c r="N62" s="11"/>
      <c r="O62" s="11"/>
      <c r="P62" s="11"/>
      <c r="Q62" s="11"/>
      <c r="R62" s="11"/>
      <c r="S62" s="11"/>
      <c r="T62" s="11"/>
      <c r="U62" s="11"/>
      <c r="V62" s="11"/>
    </row>
    <row r="63" spans="1:23" ht="15.3" x14ac:dyDescent="0.7">
      <c r="N63" s="11"/>
      <c r="O63" s="11"/>
      <c r="P63" s="11"/>
      <c r="Q63" s="11"/>
      <c r="R63" s="11"/>
      <c r="S63" s="11"/>
      <c r="T63" s="11"/>
      <c r="U63" s="11"/>
      <c r="V63" s="11"/>
    </row>
    <row r="64" spans="1:23" ht="15.3" x14ac:dyDescent="0.7">
      <c r="N64" s="11"/>
      <c r="O64" s="11"/>
      <c r="P64" s="11"/>
      <c r="Q64" s="11"/>
      <c r="R64" s="11"/>
      <c r="S64" s="11"/>
      <c r="T64" s="11"/>
      <c r="U64" s="11"/>
      <c r="V64" s="11"/>
    </row>
    <row r="65" s="11" customFormat="1" ht="15.3" x14ac:dyDescent="0.7"/>
    <row r="66" s="11" customFormat="1" ht="15.3" x14ac:dyDescent="0.7"/>
    <row r="67" s="11" customFormat="1" ht="15.3" x14ac:dyDescent="0.7"/>
    <row r="68" s="11" customFormat="1" ht="15.3" x14ac:dyDescent="0.7"/>
    <row r="69" s="11" customFormat="1" ht="15.3" x14ac:dyDescent="0.7"/>
    <row r="70" s="11" customFormat="1" ht="15.3" x14ac:dyDescent="0.7"/>
    <row r="71" s="11" customFormat="1" ht="15.3" x14ac:dyDescent="0.7"/>
    <row r="72" s="11" customFormat="1" ht="15.3" x14ac:dyDescent="0.7"/>
    <row r="73" s="11" customFormat="1" ht="15.3" x14ac:dyDescent="0.7"/>
    <row r="74" s="11" customFormat="1" ht="15.3" x14ac:dyDescent="0.7"/>
    <row r="75" s="11" customFormat="1" ht="15.3" x14ac:dyDescent="0.7"/>
    <row r="76" s="11" customFormat="1" ht="15.3" x14ac:dyDescent="0.7"/>
    <row r="77" s="11" customFormat="1" ht="15.3" x14ac:dyDescent="0.7"/>
    <row r="78" s="11" customFormat="1" ht="15.3" x14ac:dyDescent="0.7"/>
    <row r="79" s="11" customFormat="1" ht="15.3" x14ac:dyDescent="0.7"/>
    <row r="80" s="11" customFormat="1" ht="15.3" x14ac:dyDescent="0.7"/>
    <row r="81" s="11" customFormat="1" ht="15.3" x14ac:dyDescent="0.7"/>
    <row r="82" s="11" customFormat="1" ht="15.3" x14ac:dyDescent="0.7"/>
    <row r="83" s="11" customFormat="1" ht="15.3" x14ac:dyDescent="0.7"/>
    <row r="84" s="11" customFormat="1" ht="15.3" x14ac:dyDescent="0.7"/>
    <row r="85" s="11" customFormat="1" ht="15.3" x14ac:dyDescent="0.7"/>
    <row r="86" s="11" customFormat="1" ht="15.3" x14ac:dyDescent="0.7"/>
    <row r="87" s="11" customFormat="1" ht="15.3" x14ac:dyDescent="0.7"/>
    <row r="88" s="11" customFormat="1" ht="15.3" x14ac:dyDescent="0.7"/>
    <row r="89" s="11" customFormat="1" ht="15.3" x14ac:dyDescent="0.7"/>
    <row r="90" s="11" customFormat="1" ht="15.3" x14ac:dyDescent="0.7"/>
    <row r="91" s="11" customFormat="1" ht="15.3" x14ac:dyDescent="0.7"/>
    <row r="92" s="11" customFormat="1" ht="15.3" x14ac:dyDescent="0.7"/>
    <row r="93" s="11" customFormat="1" ht="15.3" x14ac:dyDescent="0.7"/>
    <row r="94" s="11" customFormat="1" ht="15.3" x14ac:dyDescent="0.7"/>
    <row r="95" s="11" customFormat="1" ht="15.3" x14ac:dyDescent="0.7"/>
    <row r="96" s="11" customFormat="1" ht="15.3" x14ac:dyDescent="0.7"/>
    <row r="97" spans="14:22" ht="15.3" x14ac:dyDescent="0.7">
      <c r="N97" s="11"/>
      <c r="O97" s="11"/>
      <c r="P97" s="11"/>
      <c r="Q97" s="11"/>
      <c r="R97" s="11"/>
      <c r="S97" s="11"/>
      <c r="T97" s="11"/>
      <c r="U97" s="11"/>
      <c r="V97" s="11"/>
    </row>
    <row r="98" spans="14:22" ht="15.3" x14ac:dyDescent="0.7">
      <c r="N98" s="11"/>
      <c r="O98" s="11"/>
      <c r="P98" s="11"/>
      <c r="Q98" s="11"/>
      <c r="R98" s="11"/>
      <c r="S98" s="11"/>
      <c r="T98" s="11"/>
      <c r="U98" s="11"/>
      <c r="V98" s="11"/>
    </row>
    <row r="99" spans="14:22" ht="15.3" x14ac:dyDescent="0.7">
      <c r="N99" s="11"/>
      <c r="O99" s="11"/>
      <c r="P99" s="11"/>
      <c r="Q99" s="11"/>
      <c r="R99" s="11"/>
      <c r="S99" s="11"/>
      <c r="T99" s="11"/>
      <c r="U99" s="11"/>
      <c r="V99" s="11"/>
    </row>
    <row r="100" spans="14:22" ht="15.3" x14ac:dyDescent="0.7">
      <c r="N100" s="11"/>
      <c r="O100" s="11"/>
      <c r="P100" s="11"/>
      <c r="Q100" s="11"/>
      <c r="R100" s="11"/>
      <c r="S100" s="11"/>
      <c r="T100" s="11"/>
      <c r="U100" s="11"/>
      <c r="V100" s="11"/>
    </row>
    <row r="101" spans="14:22" ht="15.3" x14ac:dyDescent="0.7">
      <c r="N101" s="11"/>
      <c r="O101" s="11"/>
      <c r="P101" s="11"/>
      <c r="Q101" s="11"/>
      <c r="R101" s="11"/>
      <c r="S101" s="11"/>
      <c r="T101" s="11"/>
      <c r="U101" s="11"/>
      <c r="V101" s="11"/>
    </row>
    <row r="102" spans="14:22" ht="15.3" x14ac:dyDescent="0.7"/>
    <row r="103" spans="14:22" ht="15.3" x14ac:dyDescent="0.7"/>
    <row r="104" spans="14:22" ht="15.3" x14ac:dyDescent="0.7"/>
    <row r="105" spans="14:22" ht="15.3" x14ac:dyDescent="0.7"/>
    <row r="106" spans="14:22" ht="15.3" x14ac:dyDescent="0.7"/>
    <row r="107" spans="14:22" ht="15.3" x14ac:dyDescent="0.7"/>
    <row r="108" spans="14:22" ht="15.3" x14ac:dyDescent="0.7"/>
    <row r="109" spans="14:22" ht="15.3" x14ac:dyDescent="0.7"/>
    <row r="110" spans="14:22" ht="15.3" x14ac:dyDescent="0.7"/>
  </sheetData>
  <sheetProtection algorithmName="SHA-512" hashValue="rPUX0PNEI5xb9dXZTZyC1RgV1n+h1/xQMWrY4I09yvZ5y+STjhq2f3DP0quiLs8U2tv+yKz8LAKedWYROVYkhA==" saltValue="IdPLDvOyQIsXe8HbsZg2og==" spinCount="100000" sheet="1" objects="1" scenarios="1"/>
  <mergeCells count="6">
    <mergeCell ref="B36:F37"/>
    <mergeCell ref="I2:I7"/>
    <mergeCell ref="E11:I11"/>
    <mergeCell ref="K11:M11"/>
    <mergeCell ref="U11:V11"/>
    <mergeCell ref="B32:F34"/>
  </mergeCells>
  <conditionalFormatting sqref="A12:D13">
    <cfRule type="expression" dxfId="24" priority="6" stopIfTrue="1">
      <formula>AND(ISNUMBER(VALUE(LEFT(A12, FIND(".", A12)-1))),  ISNUMBER(VALUE(MID(A12, FIND(".", A12)+1, FIND(".", A12, FIND(".", A12)+1)-FIND(".", A12)-1))),  ISNUMBER(VALUE(MID(A12, FIND(".", A12, FIND(".", A12)+1)+1, FIND(".", A12, FIND(".", A12, FIND(".", A12)+1)+1)-FIND(".", A12, FIND(".", A12)+1)-1))),  ISNUMBER(VALUE(RIGHT(A12, LEN(A12)-FIND(".", A12, FIND(".", A12, FIND(".", A12)+1)+1)))),  VALUE(LEFT(A12, FIND(".", A12)-1))&lt;=255,  VALUE(MID(A12, FIND(".", A12)+1, FIND(".", A12, FIND(".", A12)+1)-FIND(".", A12)-1))&lt;=255,  VALUE(MID(A12, FIND(".", A12, FIND(".", A12)+1)+1, FIND(".", A12, FIND(".", A12, FIND(".", A12)+1)+1)-FIND(".", A12, FIND(".", A12)+1)-1))&lt;=255,  VALUE(RIGHT(A12, LEN(A12)-FIND(".", A12, FIND(".", A12, FIND(".", A12)+1)+1)))&lt;=255)</formula>
    </cfRule>
  </conditionalFormatting>
  <conditionalFormatting sqref="A40:XFD1048576">
    <cfRule type="expression" dxfId="23" priority="1" stopIfTrue="1">
      <formula>AND(ISNUMBER(VALUE(LEFT(A40, FIND(".", A40)-1))),  ISNUMBER(VALUE(MID(A40, FIND(".", A40)+1, FIND(".", A40, FIND(".", A40)+1)-FIND(".", A40)-1))),  ISNUMBER(VALUE(MID(A40, FIND(".", A40, FIND(".", A40)+1)+1, FIND(".", A40, FIND(".", A40, FIND(".", A40)+1)+1)-FIND(".", A40, FIND(".", A40)+1)-1))),  ISNUMBER(VALUE(RIGHT(A40, LEN(A40)-FIND(".", A40, FIND(".", A40, FIND(".", A40)+1)+1)))),  VALUE(LEFT(A40, FIND(".", A40)-1))&lt;=255,  VALUE(MID(A40, FIND(".", A40)+1, FIND(".", A40, FIND(".", A40)+1)-FIND(".", A40)-1))&lt;=255,  VALUE(MID(A40, FIND(".", A40, FIND(".", A40)+1)+1, FIND(".", A40, FIND(".", A40, FIND(".", A40)+1)+1)-FIND(".", A40, FIND(".", A40)+1)-1))&lt;=255,  VALUE(RIGHT(A40, LEN(A40)-FIND(".", A40, FIND(".", A40, FIND(".", A40)+1)+1)))&lt;=255)</formula>
    </cfRule>
  </conditionalFormatting>
  <conditionalFormatting sqref="B36">
    <cfRule type="expression" dxfId="22" priority="3" stopIfTrue="1">
      <formula>AND(ISNUMBER(VALUE(LEFT(B36, FIND(".", B36)-1))),  ISNUMBER(VALUE(MID(B36, FIND(".", B36)+1, FIND(".", B36, FIND(".", B36)+1)-FIND(".", B36)-1))),  ISNUMBER(VALUE(MID(B36, FIND(".", B36, FIND(".", B36)+1)+1, FIND(".", B36, FIND(".", B36, FIND(".", B36)+1)+1)-FIND(".", B36, FIND(".", B36)+1)-1))),  ISNUMBER(VALUE(RIGHT(B36, LEN(B36)-FIND(".", B36, FIND(".", B36, FIND(".", B36)+1)+1)))),  VALUE(LEFT(B36, FIND(".", B36)-1))&lt;=255,  VALUE(MID(B36, FIND(".", B36)+1, FIND(".", B36, FIND(".", B36)+1)-FIND(".", B36)-1))&lt;=255,  VALUE(MID(B36, FIND(".", B36, FIND(".", B36)+1)+1, FIND(".", B36, FIND(".", B36, FIND(".", B36)+1)+1)-FIND(".", B36, FIND(".", B36)+1)-1))&lt;=255,  VALUE(RIGHT(B36, LEN(B36)-FIND(".", B36, FIND(".", B36, FIND(".", B36)+1)+1)))&lt;=255)</formula>
    </cfRule>
  </conditionalFormatting>
  <conditionalFormatting sqref="B35:F35">
    <cfRule type="expression" dxfId="21" priority="4" stopIfTrue="1">
      <formula>AND(ISNUMBER(VALUE(LEFT(B35, FIND(".", B35)-1))),  ISNUMBER(VALUE(MID(B35, FIND(".", B35)+1, FIND(".", B35, FIND(".", B35)+1)-FIND(".", B35)-1))),  ISNUMBER(VALUE(MID(B35, FIND(".", B35, FIND(".", B35)+1)+1, FIND(".", B35, FIND(".", B35, FIND(".", B35)+1)+1)-FIND(".", B35, FIND(".", B35)+1)-1))),  ISNUMBER(VALUE(RIGHT(B35, LEN(B35)-FIND(".", B35, FIND(".", B35, FIND(".", B35)+1)+1)))),  VALUE(LEFT(B35, FIND(".", B35)-1))&lt;=255,  VALUE(MID(B35, FIND(".", B35)+1, FIND(".", B35, FIND(".", B35)+1)-FIND(".", B35)-1))&lt;=255,  VALUE(MID(B35, FIND(".", B35, FIND(".", B35)+1)+1, FIND(".", B35, FIND(".", B35, FIND(".", B35)+1)+1)-FIND(".", B35, FIND(".", B35)+1)-1))&lt;=255,  VALUE(RIGHT(B35, LEN(B35)-FIND(".", B35, FIND(".", B35, FIND(".", B35)+1)+1)))&lt;=255)</formula>
    </cfRule>
  </conditionalFormatting>
  <conditionalFormatting sqref="C13">
    <cfRule type="expression" dxfId="20" priority="2" stopIfTrue="1">
      <formula>AND(ISNUMBER(VALUE(LEFT(C13, FIND(".", C13)-1))),  ISNUMBER(VALUE(MID(C13, FIND(".", C13)+1, FIND(".", C13, FIND(".", C13)+1)-FIND(".", C13)-1))),  ISNUMBER(VALUE(MID(C13, FIND(".", C13, FIND(".", C13)+1)+1, FIND(".", C13, FIND(".", C13, FIND(".", C13)+1)+1)-FIND(".", C13, FIND(".", C13)+1)-1))),  ISNUMBER(VALUE(RIGHT(C13, LEN(C13)-FIND(".", C13, FIND(".", C13, FIND(".", C13)+1)+1)))),  VALUE(LEFT(C13, FIND(".", C13)-1))&lt;=255,  VALUE(MID(C13, FIND(".", C13)+1, FIND(".", C13, FIND(".", C13)+1)-FIND(".", C13)-1))&lt;=255,  VALUE(MID(C13, FIND(".", C13, FIND(".", C13)+1)+1, FIND(".", C13, FIND(".", C13, FIND(".", C13)+1)+1)-FIND(".", C13, FIND(".", C13)+1)-1))&lt;=255,  VALUE(RIGHT(C13, LEN(C13)-FIND(".", C13, FIND(".", C13, FIND(".", C13)+1)+1)))&lt;=255)</formula>
    </cfRule>
  </conditionalFormatting>
  <conditionalFormatting sqref="E13:E28 K13:K28">
    <cfRule type="expression" dxfId="19" priority="12">
      <formula>LEN(E13)&gt;0</formula>
    </cfRule>
  </conditionalFormatting>
  <conditionalFormatting sqref="E12:XFD13 A14:XFD30 A1:XFD1 B2:XFD7 A8:XFD10 B11:E11 K11 N11:U11 W11:XFD11 A31 G31:XFD31 B32 N32:XFD39">
    <cfRule type="expression" dxfId="18" priority="11" stopIfTrue="1">
      <formula>AND(ISNUMBER(VALUE(LEFT(A1, FIND(".", A1)-1))),  ISNUMBER(VALUE(MID(A1, FIND(".", A1)+1, FIND(".", A1, FIND(".", A1)+1)-FIND(".", A1)-1))),  ISNUMBER(VALUE(MID(A1, FIND(".", A1, FIND(".", A1)+1)+1, FIND(".", A1, FIND(".", A1, FIND(".", A1)+1)+1)-FIND(".", A1, FIND(".", A1)+1)-1))),  ISNUMBER(VALUE(RIGHT(A1, LEN(A1)-FIND(".", A1, FIND(".", A1, FIND(".", A1)+1)+1)))),  VALUE(LEFT(A1, FIND(".", A1)-1))&lt;=255,  VALUE(MID(A1, FIND(".", A1)+1, FIND(".", A1, FIND(".", A1)+1)-FIND(".", A1)-1))&lt;=255,  VALUE(MID(A1, FIND(".", A1, FIND(".", A1)+1)+1, FIND(".", A1, FIND(".", A1, FIND(".", A1)+1)+1)-FIND(".", A1, FIND(".", A1)+1)-1))&lt;=255,  VALUE(RIGHT(A1, LEN(A1)-FIND(".", A1, FIND(".", A1, FIND(".", A1)+1)+1)))&lt;=255)</formula>
    </cfRule>
  </conditionalFormatting>
  <conditionalFormatting sqref="U13:V28">
    <cfRule type="cellIs" dxfId="17" priority="5" operator="equal">
      <formula>"Platform-Runtime and Azure OPS"</formula>
    </cfRule>
    <cfRule type="cellIs" dxfId="16" priority="7" operator="equal">
      <formula>"SDDC"</formula>
    </cfRule>
    <cfRule type="cellIs" dxfId="15" priority="8" operator="equal">
      <formula>"Azure OPS"</formula>
    </cfRule>
    <cfRule type="cellIs" dxfId="14" priority="9" operator="equal">
      <formula>"SCT SI - OCD"</formula>
    </cfRule>
    <cfRule type="cellIs" dxfId="13" priority="10" operator="equal">
      <formula>"Azure OPS and SDDC"</formula>
    </cfRule>
  </conditionalFormatting>
  <dataValidations count="24">
    <dataValidation allowBlank="1" showInputMessage="1" showErrorMessage="1" prompt="The CI number of the application that is reached." sqref="J12" xr:uid="{4809C5BF-FDF8-47C8-A23B-69E6319F0FDB}"/>
    <dataValidation allowBlank="1" showInputMessage="1" showErrorMessage="1" prompt="Understandable description of this rule." sqref="C12" xr:uid="{004DF31F-AF48-4D86-AE14-C88FC2F1F340}"/>
    <dataValidation type="decimal" errorStyle="warning" allowBlank="1" showErrorMessage="1" errorTitle="Warning" error="Please enter a single Portnumber or Portrange (x-y)." sqref="P13" xr:uid="{31C202F2-EAAF-4A3B-86E6-B78937C7ED30}">
      <formula1>1</formula1>
      <formula2>65535</formula2>
    </dataValidation>
    <dataValidation type="whole" errorStyle="warning" allowBlank="1" showErrorMessage="1" errorTitle="Warning" error="Single Portnumber or Portrange (x-y)." sqref="P14:P28" xr:uid="{20FF35C9-ED99-4B02-9C27-B618CD41D6BE}">
      <formula1>1</formula1>
      <formula2>65535</formula2>
    </dataValidation>
    <dataValidation allowBlank="1" showInputMessage="1" showErrorMessage="1" prompt="Destination Network Zone (Optional)" sqref="M12" xr:uid="{E93A074B-E6E7-46FB-8BCB-AF7C8C192B5E}"/>
    <dataValidation allowBlank="1" showInputMessage="1" showErrorMessage="1" prompt="Traffic allow or deny?" sqref="Q12" xr:uid="{8ADE30FD-7ABD-453D-BFA6-13C0CB782EAD}"/>
    <dataValidation allowBlank="1" showInputMessage="1" showErrorMessage="1" prompt="Use this textbox below to add additional information (context) to this firewall change request." sqref="B31" xr:uid="{DC919DC2-6980-4AB3-8F8A-010E6ADF4974}"/>
    <dataValidation allowBlank="1" showInputMessage="1" showErrorMessage="1" prompt="Used by the Servicedesk team only!" sqref="U11:V11" xr:uid="{04C30A8F-E011-43C4-9855-5B7497161586}"/>
    <dataValidation allowBlank="1" showInputMessage="1" showErrorMessage="1" prompt="Click on a cell for more information" sqref="I2:J7" xr:uid="{982D83BD-4AC0-4C85-8A5E-DA6F276EC758}"/>
    <dataValidation allowBlank="1" showInputMessage="1" showErrorMessage="1" prompt="Is this rule temporary or persistent?" sqref="R12" xr:uid="{4356E740-5F49-4262-8107-316484448257}"/>
    <dataValidation allowBlank="1" showInputMessage="1" showErrorMessage="1" prompt="Destination Network Zone" sqref="N12" xr:uid="{9BD9AC95-52BB-4F7D-89FD-300DF2E84642}"/>
    <dataValidation allowBlank="1" showInputMessage="1" showErrorMessage="1" prompt="Source Network Zone (Optional)" sqref="G12" xr:uid="{FB402680-1AFD-44BC-B0BC-ADCC7C968905}"/>
    <dataValidation allowBlank="1" showInputMessage="1" showErrorMessage="1" prompt="The destination IP-address(es) of this connection." sqref="K12" xr:uid="{51F78749-73C4-4299-940D-85DD705D866F}"/>
    <dataValidation allowBlank="1" showInputMessage="1" showErrorMessage="1" prompt="The Source IP-address(es) that initiates the connection." sqref="E12" xr:uid="{612D5DA3-C0F5-4241-9A5C-DE6A76C7CF81}"/>
    <dataValidation allowBlank="1" showInputMessage="1" showErrorMessage="1" prompt="Transport protocol: TCP or UDP" sqref="O12" xr:uid="{EC06BC55-5FA6-4317-B163-C01F0BC60E15}"/>
    <dataValidation allowBlank="1" showInputMessage="1" showErrorMessage="1" prompt="Beknopte omschrijving van deze regel." sqref="T12" xr:uid="{87709866-E98C-418A-9F47-B477CA3A0D99}"/>
    <dataValidation allowBlank="1" showInputMessage="1" showErrorMessage="1" prompt="Wie is de leverancier dan wel fabrikant van deze applicatie." sqref="S12" xr:uid="{74B5B8E1-9818-4640-A5AB-A2BF819172ED}"/>
    <dataValidation allowBlank="1" showInputMessage="1" showErrorMessage="1" prompt="What are the service port(s) of the application? Max 5 ports per rule." sqref="P12" xr:uid="{983CC9C7-6E92-4FD3-AE74-6D3CD4E68D65}"/>
    <dataValidation allowBlank="1" showInputMessage="1" showErrorMessage="1" prompt="The FQDN or EPG of the device/domain that the connection is pointed to." sqref="L12" xr:uid="{772E2186-19C4-44F4-BD8A-E1480591F0D8}"/>
    <dataValidation allowBlank="1" showInputMessage="1" showErrorMessage="1" prompt="Global Protect VPN only: which MS AD group needs access." sqref="I12" xr:uid="{80B32D7C-975D-4AAE-95B1-E777534CCAB4}"/>
    <dataValidation allowBlank="1" showInputMessage="1" showErrorMessage="1" prompt="The FQDN or EPG of the device/domain that initiates the connection." sqref="F12" xr:uid="{8C61CA2C-982E-4483-84E0-5D0CE2D1FD39}"/>
    <dataValidation allowBlank="1" showInputMessage="1" showErrorMessage="1" prompt="Meaningful description for this firewall rule." sqref="C12" xr:uid="{1EA78968-1EE4-41B0-BBE9-556890B6582C}"/>
    <dataValidation allowBlank="1" showInputMessage="1" showErrorMessage="1" prompt="This rule applies to this (source) application." sqref="D12" xr:uid="{08862D91-2FF8-4CB3-BDC3-199A7D74F4E5}"/>
    <dataValidation allowBlank="1" showInputMessage="1" showErrorMessage="1" prompt="What is the network service that is allowed with this fw rule?" sqref="N12" xr:uid="{BCF5D283-F383-4ACA-8610-3EE817EB4B0B}"/>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errorTitle="Warning" error="Please select the right protocol from the dropdown list." xr:uid="{09DDF30A-6D09-4CF8-8A68-F2887F0CEE38}">
          <x14:formula1>
            <xm:f>Content!$D$17:$D$20</xm:f>
          </x14:formula1>
          <xm:sqref>O14:O28</xm:sqref>
        </x14:dataValidation>
        <x14:dataValidation type="list" allowBlank="1" showInputMessage="1" showErrorMessage="1" xr:uid="{B3300F85-A2EC-4767-884B-2D5FECE1B24E}">
          <x14:formula1>
            <xm:f>Content!$D$9:$D$10</xm:f>
          </x14:formula1>
          <xm:sqref>Q13:Q28</xm:sqref>
        </x14:dataValidation>
        <x14:dataValidation type="list" allowBlank="1" showInputMessage="1" showErrorMessage="1" xr:uid="{6E0D5FAC-1300-4934-8F5A-26C05D75A578}">
          <x14:formula1>
            <xm:f>Content!$A$9:$A$40</xm:f>
          </x14:formula1>
          <xm:sqref>N13:N28</xm:sqref>
        </x14:dataValidation>
        <x14:dataValidation type="list" allowBlank="1" showInputMessage="1" showErrorMessage="1" xr:uid="{CAD72C5E-E2BE-4840-B169-F05FD527E868}">
          <x14:formula1>
            <xm:f>Content!$F$3:$F$13</xm:f>
          </x14:formula1>
          <xm:sqref>G13:G28 M13:M28</xm:sqref>
        </x14:dataValidation>
        <x14:dataValidation type="list" allowBlank="1" showInputMessage="1" showErrorMessage="1" xr:uid="{830D41E3-F816-4196-8861-688A92BBDFAA}">
          <x14:formula1>
            <xm:f>Content!$D$12:$D$13</xm:f>
          </x14:formula1>
          <xm:sqref>R13:R28</xm:sqref>
        </x14:dataValidation>
        <x14:dataValidation type="list" allowBlank="1" showInputMessage="1" showErrorMessage="1" xr:uid="{5832B311-4CF0-4828-9EC1-AABEB6038133}">
          <x14:formula1>
            <xm:f>Content!$D$17:$D$20</xm:f>
          </x14:formula1>
          <xm:sqref>O13</xm:sqref>
        </x14:dataValidation>
        <x14:dataValidation type="list" allowBlank="1" showInputMessage="1" showErrorMessage="1" xr:uid="{501BA253-5A33-48B5-BADC-8AF341304775}">
          <x14:formula1>
            <xm:f>Content!$B$9:$B$18</xm:f>
          </x14:formula1>
          <xm:sqref>S13:S28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5EBB-D194-471A-9F49-C74F1FD3D5C5}">
  <dimension ref="A1:P22"/>
  <sheetViews>
    <sheetView zoomScale="160" zoomScaleNormal="160" workbookViewId="0">
      <selection activeCell="A15" sqref="A15"/>
    </sheetView>
  </sheetViews>
  <sheetFormatPr defaultRowHeight="14.4" x14ac:dyDescent="0.55000000000000004"/>
  <cols>
    <col min="1" max="1" width="12.41796875" customWidth="1"/>
    <col min="2" max="2" width="13.89453125" customWidth="1"/>
    <col min="3" max="3" width="15.5234375" customWidth="1"/>
    <col min="4" max="4" width="10.68359375" customWidth="1"/>
    <col min="5" max="5" width="36.5234375" customWidth="1"/>
  </cols>
  <sheetData>
    <row r="1" spans="1:16" ht="21.6" x14ac:dyDescent="0.95">
      <c r="A1" s="102" t="s">
        <v>118</v>
      </c>
      <c r="B1" s="102"/>
      <c r="C1" s="102"/>
      <c r="D1" s="102"/>
      <c r="E1" s="103"/>
      <c r="F1" s="103"/>
      <c r="G1" s="103"/>
      <c r="H1" s="103"/>
      <c r="I1" s="103"/>
      <c r="J1" s="103"/>
      <c r="K1" s="103"/>
      <c r="L1" s="103"/>
      <c r="M1" s="103"/>
      <c r="N1" s="103"/>
      <c r="O1" s="101"/>
      <c r="P1" s="14"/>
    </row>
    <row r="2" spans="1:16" ht="16.5" x14ac:dyDescent="0.75">
      <c r="A2" s="63" t="s">
        <v>76</v>
      </c>
      <c r="B2" s="104" t="s">
        <v>77</v>
      </c>
      <c r="C2" s="104" t="s">
        <v>119</v>
      </c>
      <c r="D2" s="104" t="s">
        <v>120</v>
      </c>
      <c r="E2" s="104" t="s">
        <v>121</v>
      </c>
      <c r="F2" s="18"/>
      <c r="G2" s="18"/>
      <c r="H2" s="18"/>
      <c r="I2" s="18"/>
      <c r="J2" s="18"/>
      <c r="K2" s="18"/>
      <c r="L2" s="18"/>
      <c r="M2" s="18"/>
      <c r="N2" s="18"/>
      <c r="O2" s="14"/>
      <c r="P2" s="14"/>
    </row>
    <row r="3" spans="1:16" ht="15.3" x14ac:dyDescent="0.7">
      <c r="A3" s="18" t="s">
        <v>122</v>
      </c>
      <c r="B3" s="105">
        <v>45869</v>
      </c>
      <c r="C3" s="83" t="s">
        <v>123</v>
      </c>
      <c r="D3" s="83" t="s">
        <v>124</v>
      </c>
      <c r="E3" s="18"/>
      <c r="F3" s="18"/>
      <c r="G3" s="18"/>
      <c r="H3" s="18"/>
      <c r="I3" s="18"/>
      <c r="J3" s="18"/>
      <c r="K3" s="18"/>
      <c r="L3" s="18"/>
      <c r="M3" s="18"/>
      <c r="N3" s="18"/>
      <c r="O3" s="14"/>
      <c r="P3" s="14"/>
    </row>
    <row r="4" spans="1:16" ht="15.3" x14ac:dyDescent="0.7">
      <c r="A4" s="18" t="s">
        <v>125</v>
      </c>
      <c r="B4" s="105">
        <v>45881</v>
      </c>
      <c r="C4" s="83" t="s">
        <v>126</v>
      </c>
      <c r="D4" s="83" t="s">
        <v>124</v>
      </c>
      <c r="E4" s="18" t="s">
        <v>127</v>
      </c>
      <c r="F4" s="18"/>
      <c r="G4" s="18"/>
      <c r="H4" s="18"/>
      <c r="I4" s="18"/>
      <c r="J4" s="18"/>
      <c r="K4" s="18"/>
      <c r="L4" s="18"/>
      <c r="M4" s="18"/>
      <c r="N4" s="18"/>
      <c r="O4" s="14"/>
      <c r="P4" s="14"/>
    </row>
    <row r="5" spans="1:16" ht="15.3" x14ac:dyDescent="0.7">
      <c r="A5" s="18" t="s">
        <v>128</v>
      </c>
      <c r="B5" s="105">
        <v>45883</v>
      </c>
      <c r="C5" s="83" t="s">
        <v>123</v>
      </c>
      <c r="D5" s="83" t="s">
        <v>124</v>
      </c>
      <c r="E5" s="18"/>
      <c r="F5" s="18"/>
      <c r="G5" s="18"/>
      <c r="H5" s="18"/>
      <c r="I5" s="18"/>
      <c r="J5" s="18"/>
      <c r="K5" s="18"/>
      <c r="L5" s="18"/>
      <c r="M5" s="18"/>
      <c r="N5" s="18"/>
      <c r="O5" s="14"/>
      <c r="P5" s="14"/>
    </row>
    <row r="6" spans="1:16" ht="15.3" x14ac:dyDescent="0.7">
      <c r="A6" s="18" t="s">
        <v>129</v>
      </c>
      <c r="B6" s="105">
        <v>45894</v>
      </c>
      <c r="C6" s="83" t="s">
        <v>123</v>
      </c>
      <c r="D6" s="83" t="s">
        <v>124</v>
      </c>
      <c r="E6" s="18" t="s">
        <v>130</v>
      </c>
      <c r="F6" s="18"/>
      <c r="G6" s="18"/>
      <c r="H6" s="18"/>
      <c r="I6" s="18"/>
      <c r="J6" s="18"/>
      <c r="K6" s="18"/>
      <c r="L6" s="18"/>
      <c r="M6" s="18"/>
      <c r="N6" s="18"/>
      <c r="O6" s="14"/>
      <c r="P6" s="14"/>
    </row>
    <row r="7" spans="1:16" ht="15.3" x14ac:dyDescent="0.7">
      <c r="A7" s="18" t="s">
        <v>131</v>
      </c>
      <c r="B7" s="105">
        <v>45909</v>
      </c>
      <c r="C7" s="83" t="s">
        <v>126</v>
      </c>
      <c r="D7" s="83" t="s">
        <v>124</v>
      </c>
      <c r="E7" s="18" t="s">
        <v>132</v>
      </c>
      <c r="F7" s="18"/>
      <c r="G7" s="18"/>
      <c r="H7" s="18"/>
      <c r="I7" s="18"/>
      <c r="J7" s="18"/>
      <c r="K7" s="18"/>
      <c r="L7" s="18"/>
      <c r="M7" s="18"/>
      <c r="N7" s="18"/>
      <c r="O7" s="14"/>
      <c r="P7" s="14"/>
    </row>
    <row r="8" spans="1:16" ht="15.3" x14ac:dyDescent="0.7">
      <c r="A8" s="18" t="s">
        <v>133</v>
      </c>
      <c r="B8" s="105">
        <v>45917</v>
      </c>
      <c r="C8" s="83" t="s">
        <v>123</v>
      </c>
      <c r="D8" s="83" t="s">
        <v>124</v>
      </c>
      <c r="E8" s="18" t="s">
        <v>134</v>
      </c>
      <c r="F8" s="18"/>
      <c r="G8" s="18"/>
      <c r="H8" s="18"/>
      <c r="I8" s="18" t="s">
        <v>135</v>
      </c>
      <c r="J8" s="18"/>
      <c r="K8" s="18"/>
      <c r="L8" s="18"/>
      <c r="M8" s="18"/>
      <c r="N8" s="18"/>
      <c r="O8" s="14"/>
      <c r="P8" s="14"/>
    </row>
    <row r="9" spans="1:16" ht="15.3" x14ac:dyDescent="0.7">
      <c r="A9" s="18" t="s">
        <v>136</v>
      </c>
      <c r="B9" s="105">
        <v>45923</v>
      </c>
      <c r="C9" s="83" t="s">
        <v>126</v>
      </c>
      <c r="D9" s="83" t="s">
        <v>124</v>
      </c>
      <c r="E9" s="18" t="s">
        <v>137</v>
      </c>
      <c r="F9" s="18"/>
      <c r="G9" s="18"/>
      <c r="H9" s="18"/>
      <c r="I9" s="18"/>
      <c r="J9" s="18"/>
      <c r="K9" s="18"/>
      <c r="L9" s="18"/>
      <c r="M9" s="18"/>
      <c r="N9" s="18"/>
      <c r="O9" s="14"/>
      <c r="P9" s="14"/>
    </row>
    <row r="10" spans="1:16" ht="15.3" x14ac:dyDescent="0.7">
      <c r="A10" s="18" t="s">
        <v>138</v>
      </c>
      <c r="B10" s="105">
        <v>45953</v>
      </c>
      <c r="C10" s="83" t="s">
        <v>123</v>
      </c>
      <c r="D10" s="83" t="s">
        <v>124</v>
      </c>
      <c r="E10" s="18" t="s">
        <v>139</v>
      </c>
      <c r="F10" s="18"/>
      <c r="G10" s="18" t="s">
        <v>140</v>
      </c>
      <c r="H10" s="18"/>
      <c r="I10" s="18"/>
      <c r="J10" s="18"/>
      <c r="K10" s="18"/>
      <c r="L10" s="18"/>
      <c r="M10" s="18"/>
      <c r="N10" s="18"/>
      <c r="O10" s="14"/>
      <c r="P10" s="14"/>
    </row>
    <row r="11" spans="1:16" ht="15.3" x14ac:dyDescent="0.7">
      <c r="A11" s="18" t="s">
        <v>141</v>
      </c>
      <c r="B11" s="105">
        <v>45978</v>
      </c>
      <c r="C11" s="83" t="s">
        <v>123</v>
      </c>
      <c r="D11" s="83" t="s">
        <v>124</v>
      </c>
      <c r="E11" s="18" t="s">
        <v>143</v>
      </c>
      <c r="F11" s="18"/>
      <c r="G11" s="18"/>
      <c r="H11" s="18"/>
      <c r="I11" s="18"/>
      <c r="J11" s="18"/>
      <c r="K11" s="18"/>
      <c r="L11" s="18"/>
      <c r="M11" s="18"/>
      <c r="N11" s="18"/>
      <c r="O11" s="14"/>
      <c r="P11" s="14"/>
    </row>
    <row r="12" spans="1:16" ht="15.3" x14ac:dyDescent="0.7">
      <c r="A12" s="18" t="s">
        <v>144</v>
      </c>
      <c r="B12" s="125">
        <v>45979</v>
      </c>
      <c r="C12" s="83" t="s">
        <v>123</v>
      </c>
      <c r="D12" s="83" t="s">
        <v>124</v>
      </c>
      <c r="E12" s="18" t="s">
        <v>145</v>
      </c>
      <c r="F12" s="18"/>
      <c r="G12" s="18"/>
      <c r="H12" s="18"/>
      <c r="I12" s="18"/>
      <c r="J12" s="18"/>
      <c r="K12" s="18"/>
      <c r="L12" s="18"/>
      <c r="M12" s="18"/>
      <c r="N12" s="18"/>
      <c r="O12" s="14"/>
      <c r="P12" s="14"/>
    </row>
    <row r="13" spans="1:16" ht="15.3" x14ac:dyDescent="0.7">
      <c r="A13" s="18" t="s">
        <v>146</v>
      </c>
      <c r="B13" s="125">
        <v>46000</v>
      </c>
      <c r="C13" s="83" t="s">
        <v>126</v>
      </c>
      <c r="D13" s="83" t="s">
        <v>124</v>
      </c>
      <c r="E13" s="18" t="s">
        <v>147</v>
      </c>
      <c r="F13" s="18"/>
      <c r="G13" s="18"/>
      <c r="H13" s="18"/>
      <c r="I13" s="18"/>
      <c r="J13" s="18"/>
      <c r="K13" s="18"/>
      <c r="L13" s="18"/>
      <c r="M13" s="18"/>
      <c r="N13" s="18"/>
      <c r="O13" s="14"/>
      <c r="P13" s="14"/>
    </row>
    <row r="14" spans="1:16" ht="15.3" x14ac:dyDescent="0.7">
      <c r="A14" s="18" t="s">
        <v>148</v>
      </c>
      <c r="B14" s="125">
        <v>46113</v>
      </c>
      <c r="C14" s="83" t="s">
        <v>149</v>
      </c>
      <c r="D14" s="83" t="s">
        <v>142</v>
      </c>
      <c r="E14" s="18" t="s">
        <v>271</v>
      </c>
      <c r="F14" s="18"/>
      <c r="G14" s="18"/>
      <c r="H14" s="18"/>
      <c r="I14" s="18"/>
      <c r="J14" s="18"/>
      <c r="K14" s="18"/>
      <c r="L14" s="18"/>
      <c r="M14" s="18"/>
      <c r="N14" s="18"/>
      <c r="O14" s="14"/>
      <c r="P14" s="14"/>
    </row>
    <row r="15" spans="1:16" ht="15.3" x14ac:dyDescent="0.7">
      <c r="A15" s="18" t="s">
        <v>274</v>
      </c>
      <c r="B15" s="125">
        <v>46133</v>
      </c>
      <c r="C15" s="83" t="s">
        <v>126</v>
      </c>
      <c r="D15" s="83" t="s">
        <v>142</v>
      </c>
      <c r="E15" s="18" t="s">
        <v>281</v>
      </c>
      <c r="F15" s="18"/>
      <c r="G15" s="18"/>
      <c r="H15" s="18"/>
      <c r="I15" s="18"/>
      <c r="J15" s="18"/>
      <c r="K15" s="18"/>
      <c r="L15" s="18"/>
      <c r="M15" s="18"/>
      <c r="N15" s="18"/>
      <c r="O15" s="14"/>
      <c r="P15" s="14"/>
    </row>
    <row r="16" spans="1:16" ht="15.3" x14ac:dyDescent="0.7">
      <c r="A16" s="18"/>
      <c r="B16" s="18"/>
      <c r="C16" s="18"/>
      <c r="D16" s="18"/>
      <c r="E16" s="18"/>
      <c r="F16" s="18"/>
      <c r="G16" s="18"/>
      <c r="H16" s="18"/>
      <c r="I16" s="18"/>
      <c r="J16" s="18"/>
      <c r="K16" s="18"/>
      <c r="L16" s="18"/>
      <c r="M16" s="18"/>
      <c r="N16" s="18"/>
      <c r="O16" s="14"/>
      <c r="P16" s="14"/>
    </row>
    <row r="17" spans="1:16" x14ac:dyDescent="0.55000000000000004">
      <c r="A17" s="14"/>
      <c r="B17" s="14"/>
      <c r="C17" s="14"/>
      <c r="D17" s="14"/>
      <c r="E17" s="14"/>
      <c r="F17" s="14"/>
      <c r="G17" s="14"/>
      <c r="H17" s="14"/>
      <c r="I17" s="14"/>
      <c r="J17" s="14"/>
      <c r="K17" s="14"/>
      <c r="L17" s="14"/>
      <c r="M17" s="14"/>
      <c r="N17" s="14"/>
      <c r="O17" s="14"/>
      <c r="P17" s="14"/>
    </row>
    <row r="18" spans="1:16" x14ac:dyDescent="0.55000000000000004">
      <c r="A18" s="14"/>
      <c r="B18" s="14"/>
      <c r="C18" s="14"/>
      <c r="D18" s="14"/>
      <c r="E18" s="14"/>
      <c r="F18" s="14"/>
      <c r="G18" s="14"/>
      <c r="H18" s="14"/>
      <c r="I18" s="14"/>
      <c r="J18" s="14"/>
      <c r="K18" s="14"/>
      <c r="L18" s="14"/>
      <c r="M18" s="14"/>
      <c r="N18" s="14"/>
      <c r="O18" s="14"/>
      <c r="P18" s="14"/>
    </row>
    <row r="19" spans="1:16" x14ac:dyDescent="0.55000000000000004">
      <c r="A19" s="14"/>
      <c r="B19" s="14"/>
      <c r="C19" s="14"/>
      <c r="D19" s="14"/>
      <c r="E19" s="14"/>
      <c r="F19" s="14"/>
      <c r="G19" s="14"/>
      <c r="H19" s="14"/>
      <c r="I19" s="14"/>
      <c r="J19" s="14"/>
      <c r="K19" s="14"/>
      <c r="L19" s="14"/>
      <c r="M19" s="14"/>
      <c r="N19" s="14"/>
      <c r="O19" s="14"/>
      <c r="P19" s="14"/>
    </row>
    <row r="20" spans="1:16" x14ac:dyDescent="0.55000000000000004">
      <c r="A20" s="14"/>
      <c r="B20" s="14"/>
      <c r="C20" s="14"/>
      <c r="D20" s="14"/>
      <c r="E20" s="14"/>
      <c r="F20" s="14"/>
      <c r="G20" s="14"/>
      <c r="H20" s="14"/>
      <c r="I20" s="14"/>
      <c r="J20" s="14"/>
      <c r="K20" s="14"/>
      <c r="L20" s="14"/>
      <c r="M20" s="14"/>
      <c r="N20" s="14"/>
      <c r="O20" s="14"/>
      <c r="P20" s="14"/>
    </row>
    <row r="21" spans="1:16" x14ac:dyDescent="0.55000000000000004">
      <c r="A21" s="14"/>
      <c r="B21" s="14"/>
      <c r="C21" s="14"/>
      <c r="D21" s="14"/>
      <c r="E21" s="14"/>
      <c r="F21" s="14"/>
      <c r="G21" s="14"/>
      <c r="H21" s="14"/>
      <c r="I21" s="14"/>
      <c r="J21" s="14"/>
      <c r="K21" s="14"/>
      <c r="L21" s="14"/>
      <c r="M21" s="14"/>
      <c r="N21" s="14"/>
      <c r="O21" s="14"/>
      <c r="P21" s="14"/>
    </row>
    <row r="22" spans="1:16" x14ac:dyDescent="0.55000000000000004">
      <c r="A22" s="14"/>
      <c r="B22" s="14"/>
      <c r="C22" s="14"/>
      <c r="D22" s="14"/>
      <c r="E22" s="14"/>
      <c r="F22" s="14"/>
      <c r="G22" s="14"/>
      <c r="H22" s="14"/>
      <c r="I22" s="14"/>
      <c r="J22" s="14"/>
      <c r="K22" s="14"/>
      <c r="L22" s="14"/>
      <c r="M22" s="14"/>
      <c r="N22" s="14"/>
      <c r="O22" s="14"/>
      <c r="P22" s="14"/>
    </row>
  </sheetData>
  <sheetProtection algorithmName="SHA-512" hashValue="2mCkN1uX8tRo5kQxJzM98cwhfcCTzpAXZw6ZU5NaHGMn9LnxLv1X9yrsKxVHmOUPNFskIwYvr4pqij4NkH+fXg==" saltValue="N9gKGydEPMfgY0ZGGj7SnA==" spinCount="100000" sheet="1" objects="1" scenarios="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9C17376-4B43-4C75-984C-89A79AC527DC}">
          <x14:formula1>
            <xm:f>Content!$N$3:$N$5</xm:f>
          </x14:formula1>
          <xm:sqref>C3:C9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EE725-9DFA-4883-9407-56B4D5EE6815}">
  <dimension ref="A2:V53"/>
  <sheetViews>
    <sheetView topLeftCell="G1" zoomScale="130" zoomScaleNormal="130" workbookViewId="0">
      <selection activeCell="V8" sqref="V8"/>
    </sheetView>
  </sheetViews>
  <sheetFormatPr defaultRowHeight="14.4" x14ac:dyDescent="0.55000000000000004"/>
  <cols>
    <col min="1" max="1" width="21.68359375" customWidth="1"/>
    <col min="2" max="2" width="21.1015625" bestFit="1" customWidth="1"/>
  </cols>
  <sheetData>
    <row r="2" spans="1:22" ht="15.6" x14ac:dyDescent="0.6">
      <c r="A2" s="7" t="s">
        <v>150</v>
      </c>
      <c r="B2" s="7" t="s">
        <v>151</v>
      </c>
      <c r="F2" s="5" t="s">
        <v>152</v>
      </c>
      <c r="N2" s="5" t="s">
        <v>153</v>
      </c>
      <c r="R2" s="5" t="s">
        <v>154</v>
      </c>
      <c r="V2" s="5" t="s">
        <v>155</v>
      </c>
    </row>
    <row r="3" spans="1:22" x14ac:dyDescent="0.55000000000000004">
      <c r="A3" t="s">
        <v>156</v>
      </c>
      <c r="B3" t="s">
        <v>67</v>
      </c>
      <c r="F3" t="s">
        <v>107</v>
      </c>
      <c r="N3" t="s">
        <v>157</v>
      </c>
      <c r="R3" t="s">
        <v>158</v>
      </c>
      <c r="V3" t="s">
        <v>53</v>
      </c>
    </row>
    <row r="4" spans="1:22" x14ac:dyDescent="0.55000000000000004">
      <c r="A4" t="s">
        <v>159</v>
      </c>
      <c r="B4" t="s">
        <v>160</v>
      </c>
      <c r="F4" t="s">
        <v>161</v>
      </c>
      <c r="N4" t="s">
        <v>126</v>
      </c>
      <c r="R4" t="s">
        <v>162</v>
      </c>
      <c r="V4" t="s">
        <v>163</v>
      </c>
    </row>
    <row r="5" spans="1:22" x14ac:dyDescent="0.55000000000000004">
      <c r="A5" t="s">
        <v>164</v>
      </c>
      <c r="B5" t="s">
        <v>165</v>
      </c>
      <c r="F5" t="s">
        <v>166</v>
      </c>
      <c r="N5" t="s">
        <v>123</v>
      </c>
      <c r="R5" t="s">
        <v>167</v>
      </c>
      <c r="V5" t="s">
        <v>168</v>
      </c>
    </row>
    <row r="6" spans="1:22" x14ac:dyDescent="0.55000000000000004">
      <c r="A6" t="s">
        <v>169</v>
      </c>
      <c r="F6" t="s">
        <v>170</v>
      </c>
      <c r="R6" t="s">
        <v>171</v>
      </c>
      <c r="V6" t="s">
        <v>172</v>
      </c>
    </row>
    <row r="7" spans="1:22" x14ac:dyDescent="0.55000000000000004">
      <c r="F7" t="s">
        <v>173</v>
      </c>
      <c r="N7" s="5" t="s">
        <v>174</v>
      </c>
      <c r="R7" t="s">
        <v>175</v>
      </c>
    </row>
    <row r="8" spans="1:22" ht="15.6" x14ac:dyDescent="0.6">
      <c r="A8" s="7" t="s">
        <v>176</v>
      </c>
      <c r="B8" s="7" t="s">
        <v>177</v>
      </c>
      <c r="D8" s="7" t="s">
        <v>178</v>
      </c>
      <c r="F8" t="s">
        <v>179</v>
      </c>
      <c r="N8" t="s">
        <v>180</v>
      </c>
      <c r="R8" t="s">
        <v>181</v>
      </c>
    </row>
    <row r="9" spans="1:22" x14ac:dyDescent="0.55000000000000004">
      <c r="A9" s="6" t="s">
        <v>108</v>
      </c>
      <c r="B9" t="s">
        <v>182</v>
      </c>
      <c r="D9" t="s">
        <v>110</v>
      </c>
      <c r="F9" t="s">
        <v>104</v>
      </c>
    </row>
    <row r="10" spans="1:22" x14ac:dyDescent="0.55000000000000004">
      <c r="A10" s="6" t="s">
        <v>183</v>
      </c>
      <c r="B10" t="s">
        <v>184</v>
      </c>
      <c r="D10" t="s">
        <v>185</v>
      </c>
      <c r="F10" t="s">
        <v>186</v>
      </c>
    </row>
    <row r="11" spans="1:22" x14ac:dyDescent="0.55000000000000004">
      <c r="A11" s="6" t="s">
        <v>30</v>
      </c>
      <c r="B11" t="s">
        <v>187</v>
      </c>
      <c r="F11" t="s">
        <v>188</v>
      </c>
    </row>
    <row r="12" spans="1:22" x14ac:dyDescent="0.55000000000000004">
      <c r="A12" s="6" t="s">
        <v>189</v>
      </c>
      <c r="B12" t="s">
        <v>190</v>
      </c>
      <c r="D12" t="s">
        <v>111</v>
      </c>
      <c r="F12" t="s">
        <v>191</v>
      </c>
    </row>
    <row r="13" spans="1:22" x14ac:dyDescent="0.55000000000000004">
      <c r="A13" s="6" t="s">
        <v>192</v>
      </c>
      <c r="B13" t="s">
        <v>193</v>
      </c>
      <c r="D13" t="s">
        <v>72</v>
      </c>
      <c r="F13" t="s">
        <v>194</v>
      </c>
    </row>
    <row r="14" spans="1:22" x14ac:dyDescent="0.55000000000000004">
      <c r="A14" s="6" t="s">
        <v>195</v>
      </c>
      <c r="B14" t="s">
        <v>196</v>
      </c>
    </row>
    <row r="15" spans="1:22" x14ac:dyDescent="0.55000000000000004">
      <c r="A15" s="6" t="s">
        <v>197</v>
      </c>
      <c r="B15" t="s">
        <v>198</v>
      </c>
      <c r="G15" s="5" t="s">
        <v>199</v>
      </c>
    </row>
    <row r="16" spans="1:22" ht="15.6" x14ac:dyDescent="0.6">
      <c r="A16" s="6" t="s">
        <v>200</v>
      </c>
      <c r="B16" t="s">
        <v>201</v>
      </c>
      <c r="D16" s="7" t="s">
        <v>92</v>
      </c>
      <c r="G16" s="8" t="s">
        <v>202</v>
      </c>
    </row>
    <row r="17" spans="1:18" x14ac:dyDescent="0.55000000000000004">
      <c r="A17" s="6" t="s">
        <v>203</v>
      </c>
      <c r="B17" t="s">
        <v>204</v>
      </c>
      <c r="D17" t="s">
        <v>32</v>
      </c>
      <c r="G17" s="8" t="s">
        <v>205</v>
      </c>
    </row>
    <row r="18" spans="1:18" x14ac:dyDescent="0.55000000000000004">
      <c r="A18" s="6" t="s">
        <v>206</v>
      </c>
      <c r="B18" t="s">
        <v>112</v>
      </c>
      <c r="D18" t="s">
        <v>109</v>
      </c>
      <c r="G18" s="8" t="s">
        <v>207</v>
      </c>
    </row>
    <row r="19" spans="1:18" x14ac:dyDescent="0.55000000000000004">
      <c r="A19" s="6" t="s">
        <v>208</v>
      </c>
      <c r="D19" t="s">
        <v>209</v>
      </c>
      <c r="G19" s="8" t="s">
        <v>210</v>
      </c>
      <c r="P19" s="10"/>
      <c r="Q19" s="10"/>
      <c r="R19" s="10"/>
    </row>
    <row r="20" spans="1:18" x14ac:dyDescent="0.55000000000000004">
      <c r="A20" s="6" t="s">
        <v>211</v>
      </c>
      <c r="D20" t="s">
        <v>212</v>
      </c>
      <c r="G20" s="8" t="s">
        <v>213</v>
      </c>
    </row>
    <row r="21" spans="1:18" x14ac:dyDescent="0.55000000000000004">
      <c r="A21" s="6" t="s">
        <v>214</v>
      </c>
    </row>
    <row r="22" spans="1:18" x14ac:dyDescent="0.55000000000000004">
      <c r="A22" s="6" t="s">
        <v>215</v>
      </c>
      <c r="G22" s="5" t="s">
        <v>216</v>
      </c>
    </row>
    <row r="23" spans="1:18" x14ac:dyDescent="0.55000000000000004">
      <c r="A23" s="6" t="s">
        <v>217</v>
      </c>
      <c r="G23" s="9" t="s">
        <v>218</v>
      </c>
    </row>
    <row r="24" spans="1:18" x14ac:dyDescent="0.55000000000000004">
      <c r="A24" s="6" t="s">
        <v>219</v>
      </c>
      <c r="G24" s="9" t="s">
        <v>220</v>
      </c>
    </row>
    <row r="25" spans="1:18" x14ac:dyDescent="0.55000000000000004">
      <c r="A25" s="6" t="s">
        <v>221</v>
      </c>
      <c r="B25" s="6"/>
      <c r="G25" s="9" t="s">
        <v>222</v>
      </c>
    </row>
    <row r="26" spans="1:18" x14ac:dyDescent="0.55000000000000004">
      <c r="A26" s="6" t="s">
        <v>223</v>
      </c>
      <c r="G26" s="9" t="s">
        <v>224</v>
      </c>
      <c r="O26" s="10"/>
      <c r="P26" s="10"/>
    </row>
    <row r="27" spans="1:18" x14ac:dyDescent="0.55000000000000004">
      <c r="A27" s="6" t="s">
        <v>225</v>
      </c>
      <c r="G27" s="9" t="s">
        <v>226</v>
      </c>
    </row>
    <row r="28" spans="1:18" x14ac:dyDescent="0.55000000000000004">
      <c r="A28" s="6" t="s">
        <v>227</v>
      </c>
      <c r="G28" s="9" t="s">
        <v>228</v>
      </c>
    </row>
    <row r="29" spans="1:18" x14ac:dyDescent="0.55000000000000004">
      <c r="A29" s="6" t="s">
        <v>229</v>
      </c>
      <c r="G29" s="9" t="s">
        <v>230</v>
      </c>
    </row>
    <row r="30" spans="1:18" x14ac:dyDescent="0.55000000000000004">
      <c r="A30" s="6" t="s">
        <v>231</v>
      </c>
      <c r="B30" s="6"/>
      <c r="G30" s="9" t="s">
        <v>232</v>
      </c>
    </row>
    <row r="31" spans="1:18" x14ac:dyDescent="0.55000000000000004">
      <c r="A31" s="6" t="s">
        <v>233</v>
      </c>
      <c r="B31" s="6"/>
      <c r="G31" s="9" t="s">
        <v>234</v>
      </c>
    </row>
    <row r="32" spans="1:18" x14ac:dyDescent="0.55000000000000004">
      <c r="A32" s="6" t="s">
        <v>235</v>
      </c>
      <c r="G32" s="9" t="s">
        <v>236</v>
      </c>
    </row>
    <row r="33" spans="1:14" x14ac:dyDescent="0.55000000000000004">
      <c r="A33" s="6" t="s">
        <v>237</v>
      </c>
    </row>
    <row r="34" spans="1:14" x14ac:dyDescent="0.55000000000000004">
      <c r="A34" s="6" t="s">
        <v>238</v>
      </c>
      <c r="G34" s="9" t="s">
        <v>239</v>
      </c>
      <c r="N34" t="s">
        <v>240</v>
      </c>
    </row>
    <row r="35" spans="1:14" x14ac:dyDescent="0.55000000000000004">
      <c r="A35" s="6" t="s">
        <v>241</v>
      </c>
      <c r="G35" s="9" t="s">
        <v>242</v>
      </c>
      <c r="N35" t="s">
        <v>243</v>
      </c>
    </row>
    <row r="36" spans="1:14" x14ac:dyDescent="0.55000000000000004">
      <c r="A36" s="6" t="s">
        <v>244</v>
      </c>
      <c r="B36" s="6"/>
      <c r="G36" s="9" t="s">
        <v>245</v>
      </c>
      <c r="N36" t="s">
        <v>246</v>
      </c>
    </row>
    <row r="37" spans="1:14" x14ac:dyDescent="0.55000000000000004">
      <c r="A37" s="6" t="s">
        <v>247</v>
      </c>
      <c r="G37" s="9" t="s">
        <v>248</v>
      </c>
      <c r="N37" t="s">
        <v>249</v>
      </c>
    </row>
    <row r="38" spans="1:14" x14ac:dyDescent="0.55000000000000004">
      <c r="A38" s="6" t="s">
        <v>250</v>
      </c>
      <c r="G38" s="9"/>
    </row>
    <row r="39" spans="1:14" x14ac:dyDescent="0.55000000000000004">
      <c r="A39" s="6" t="s">
        <v>251</v>
      </c>
      <c r="B39" s="6"/>
    </row>
    <row r="40" spans="1:14" x14ac:dyDescent="0.55000000000000004">
      <c r="A40" s="6" t="s">
        <v>252</v>
      </c>
    </row>
    <row r="45" spans="1:14" x14ac:dyDescent="0.55000000000000004">
      <c r="B45" s="6"/>
    </row>
    <row r="46" spans="1:14" x14ac:dyDescent="0.55000000000000004">
      <c r="B46" s="6"/>
    </row>
    <row r="47" spans="1:14" x14ac:dyDescent="0.55000000000000004">
      <c r="B47" s="6"/>
    </row>
    <row r="52" spans="2:2" x14ac:dyDescent="0.55000000000000004">
      <c r="B52" s="6"/>
    </row>
    <row r="53" spans="2:2" x14ac:dyDescent="0.55000000000000004">
      <c r="B53" s="6"/>
    </row>
  </sheetData>
  <pageMargins left="0.7" right="0.7" top="0.75" bottom="0.75" header="0.3" footer="0.3"/>
  <pageSetup paperSize="9" orientation="portrait" r:id="rId1"/>
  <headerFooter>
    <oddFooter>&amp;C_x000D_&amp;1#&amp;"Calibri"&amp;10&amp;KFF7900 Orange Restricted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C1E40-57C3-4DEE-98B7-F9F22842521C}">
  <dimension ref="A1:F33"/>
  <sheetViews>
    <sheetView workbookViewId="0">
      <selection activeCell="E2" sqref="E2"/>
    </sheetView>
  </sheetViews>
  <sheetFormatPr defaultRowHeight="14.4" x14ac:dyDescent="0.55000000000000004"/>
  <cols>
    <col min="1" max="1" width="27.68359375" customWidth="1"/>
    <col min="2" max="2" width="9.1015625" style="163"/>
  </cols>
  <sheetData>
    <row r="1" spans="1:6" ht="15.6" x14ac:dyDescent="0.6">
      <c r="A1" s="7" t="s">
        <v>176</v>
      </c>
      <c r="B1" s="162" t="s">
        <v>253</v>
      </c>
      <c r="E1" s="5" t="s">
        <v>254</v>
      </c>
      <c r="F1" s="5" t="s">
        <v>253</v>
      </c>
    </row>
    <row r="2" spans="1:6" x14ac:dyDescent="0.55000000000000004">
      <c r="A2" s="6" t="s">
        <v>108</v>
      </c>
      <c r="B2" s="163">
        <v>53</v>
      </c>
      <c r="E2" t="s">
        <v>30</v>
      </c>
      <c r="F2">
        <f t="shared" ref="F2:F23" si="0">IF(_xlfn.XLOOKUP(E2, A:A, B:B, "")="", "Manual define", _xlfn.XLOOKUP(E2, A:A, B:B, "Unknown"))</f>
        <v>443</v>
      </c>
    </row>
    <row r="3" spans="1:6" x14ac:dyDescent="0.55000000000000004">
      <c r="A3" s="6" t="s">
        <v>183</v>
      </c>
      <c r="B3" s="163" t="s">
        <v>255</v>
      </c>
      <c r="E3" t="s">
        <v>229</v>
      </c>
      <c r="F3">
        <v>678</v>
      </c>
    </row>
    <row r="4" spans="1:6" x14ac:dyDescent="0.55000000000000004">
      <c r="A4" s="6" t="s">
        <v>30</v>
      </c>
      <c r="B4" s="163">
        <v>443</v>
      </c>
      <c r="E4" t="s">
        <v>241</v>
      </c>
      <c r="F4" t="str">
        <f t="shared" si="0"/>
        <v>Manual define</v>
      </c>
    </row>
    <row r="5" spans="1:6" x14ac:dyDescent="0.55000000000000004">
      <c r="A5" s="6" t="s">
        <v>189</v>
      </c>
      <c r="F5" t="str">
        <f t="shared" si="0"/>
        <v>Manual define</v>
      </c>
    </row>
    <row r="6" spans="1:6" x14ac:dyDescent="0.55000000000000004">
      <c r="A6" s="6" t="s">
        <v>192</v>
      </c>
      <c r="B6" s="163">
        <v>123</v>
      </c>
      <c r="F6" t="str">
        <f t="shared" si="0"/>
        <v>Manual define</v>
      </c>
    </row>
    <row r="7" spans="1:6" x14ac:dyDescent="0.55000000000000004">
      <c r="A7" s="6" t="s">
        <v>256</v>
      </c>
      <c r="B7" s="163">
        <v>636</v>
      </c>
      <c r="F7" t="str">
        <f t="shared" si="0"/>
        <v>Manual define</v>
      </c>
    </row>
    <row r="8" spans="1:6" x14ac:dyDescent="0.55000000000000004">
      <c r="A8" s="6" t="s">
        <v>197</v>
      </c>
      <c r="F8" t="str">
        <f t="shared" si="0"/>
        <v>Manual define</v>
      </c>
    </row>
    <row r="9" spans="1:6" x14ac:dyDescent="0.55000000000000004">
      <c r="A9" s="6" t="s">
        <v>200</v>
      </c>
      <c r="B9" s="163">
        <v>1812</v>
      </c>
      <c r="F9" t="str">
        <f t="shared" si="0"/>
        <v>Manual define</v>
      </c>
    </row>
    <row r="10" spans="1:6" x14ac:dyDescent="0.55000000000000004">
      <c r="A10" s="6" t="s">
        <v>203</v>
      </c>
      <c r="B10" s="163">
        <v>22</v>
      </c>
      <c r="F10" t="str">
        <f t="shared" si="0"/>
        <v>Manual define</v>
      </c>
    </row>
    <row r="11" spans="1:6" x14ac:dyDescent="0.55000000000000004">
      <c r="A11" s="6" t="s">
        <v>206</v>
      </c>
      <c r="B11" s="163">
        <v>443</v>
      </c>
      <c r="F11" t="str">
        <f t="shared" si="0"/>
        <v>Manual define</v>
      </c>
    </row>
    <row r="12" spans="1:6" x14ac:dyDescent="0.55000000000000004">
      <c r="A12" s="6" t="s">
        <v>208</v>
      </c>
      <c r="B12" s="163">
        <v>514</v>
      </c>
      <c r="F12" t="str">
        <f t="shared" si="0"/>
        <v>Manual define</v>
      </c>
    </row>
    <row r="13" spans="1:6" x14ac:dyDescent="0.55000000000000004">
      <c r="A13" s="6" t="s">
        <v>211</v>
      </c>
      <c r="F13" t="str">
        <f t="shared" si="0"/>
        <v>Manual define</v>
      </c>
    </row>
    <row r="14" spans="1:6" x14ac:dyDescent="0.55000000000000004">
      <c r="A14" s="6" t="s">
        <v>214</v>
      </c>
      <c r="F14" t="str">
        <f t="shared" si="0"/>
        <v>Manual define</v>
      </c>
    </row>
    <row r="15" spans="1:6" x14ac:dyDescent="0.55000000000000004">
      <c r="A15" s="6" t="s">
        <v>215</v>
      </c>
      <c r="B15" s="163">
        <v>80</v>
      </c>
      <c r="F15" t="str">
        <f t="shared" si="0"/>
        <v>Manual define</v>
      </c>
    </row>
    <row r="16" spans="1:6" x14ac:dyDescent="0.55000000000000004">
      <c r="A16" s="6" t="s">
        <v>217</v>
      </c>
      <c r="F16" t="str">
        <f t="shared" si="0"/>
        <v>Manual define</v>
      </c>
    </row>
    <row r="17" spans="1:6" x14ac:dyDescent="0.55000000000000004">
      <c r="A17" s="6" t="s">
        <v>219</v>
      </c>
      <c r="F17" t="str">
        <f t="shared" si="0"/>
        <v>Manual define</v>
      </c>
    </row>
    <row r="18" spans="1:6" x14ac:dyDescent="0.55000000000000004">
      <c r="A18" s="6" t="s">
        <v>221</v>
      </c>
      <c r="F18" t="str">
        <f t="shared" si="0"/>
        <v>Manual define</v>
      </c>
    </row>
    <row r="19" spans="1:6" x14ac:dyDescent="0.55000000000000004">
      <c r="A19" s="6" t="s">
        <v>223</v>
      </c>
      <c r="F19" t="str">
        <f t="shared" si="0"/>
        <v>Manual define</v>
      </c>
    </row>
    <row r="20" spans="1:6" x14ac:dyDescent="0.55000000000000004">
      <c r="A20" s="6" t="s">
        <v>225</v>
      </c>
      <c r="F20" t="str">
        <f t="shared" si="0"/>
        <v>Manual define</v>
      </c>
    </row>
    <row r="21" spans="1:6" x14ac:dyDescent="0.55000000000000004">
      <c r="A21" s="6" t="s">
        <v>227</v>
      </c>
      <c r="F21" t="str">
        <f t="shared" si="0"/>
        <v>Manual define</v>
      </c>
    </row>
    <row r="22" spans="1:6" x14ac:dyDescent="0.55000000000000004">
      <c r="A22" s="6" t="s">
        <v>229</v>
      </c>
      <c r="F22" t="str">
        <f t="shared" si="0"/>
        <v>Manual define</v>
      </c>
    </row>
    <row r="23" spans="1:6" x14ac:dyDescent="0.55000000000000004">
      <c r="A23" s="6" t="s">
        <v>231</v>
      </c>
      <c r="F23" t="str">
        <f t="shared" si="0"/>
        <v>Manual define</v>
      </c>
    </row>
    <row r="24" spans="1:6" x14ac:dyDescent="0.55000000000000004">
      <c r="A24" s="6" t="s">
        <v>233</v>
      </c>
      <c r="E24" t="s">
        <v>229</v>
      </c>
      <c r="F24" t="str">
        <f>IF(_xlfn.XLOOKUP(E24, A:A, B:B, "")="", "Manual define", _xlfn.XLOOKUP(E24, A:A, B:B, "Unknown"))</f>
        <v>Manual define</v>
      </c>
    </row>
    <row r="25" spans="1:6" x14ac:dyDescent="0.55000000000000004">
      <c r="A25" s="6" t="s">
        <v>235</v>
      </c>
    </row>
    <row r="26" spans="1:6" x14ac:dyDescent="0.55000000000000004">
      <c r="A26" s="6" t="s">
        <v>237</v>
      </c>
    </row>
    <row r="27" spans="1:6" x14ac:dyDescent="0.55000000000000004">
      <c r="A27" s="6" t="s">
        <v>238</v>
      </c>
    </row>
    <row r="28" spans="1:6" x14ac:dyDescent="0.55000000000000004">
      <c r="A28" s="6" t="s">
        <v>241</v>
      </c>
    </row>
    <row r="29" spans="1:6" x14ac:dyDescent="0.55000000000000004">
      <c r="A29" s="6" t="s">
        <v>244</v>
      </c>
    </row>
    <row r="30" spans="1:6" x14ac:dyDescent="0.55000000000000004">
      <c r="A30" s="6" t="s">
        <v>247</v>
      </c>
      <c r="B30" s="163">
        <v>80</v>
      </c>
    </row>
    <row r="31" spans="1:6" x14ac:dyDescent="0.55000000000000004">
      <c r="A31" s="6" t="s">
        <v>250</v>
      </c>
      <c r="B31" s="163">
        <v>22</v>
      </c>
    </row>
    <row r="32" spans="1:6" x14ac:dyDescent="0.55000000000000004">
      <c r="A32" s="6" t="s">
        <v>251</v>
      </c>
      <c r="B32" s="163">
        <v>3389</v>
      </c>
    </row>
    <row r="33" spans="1:1" x14ac:dyDescent="0.55000000000000004">
      <c r="A33" s="6" t="s">
        <v>252</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A3250-C0BD-42A7-A69D-DC0F162211D5}">
  <dimension ref="A1:BH40"/>
  <sheetViews>
    <sheetView zoomScale="115" zoomScaleNormal="115" workbookViewId="0">
      <selection activeCell="D14" sqref="D14"/>
    </sheetView>
  </sheetViews>
  <sheetFormatPr defaultColWidth="0" defaultRowHeight="0" customHeight="1" zeroHeight="1" x14ac:dyDescent="0.7"/>
  <cols>
    <col min="1" max="1" width="8.5234375" style="11" customWidth="1"/>
    <col min="2" max="2" width="6.3125" style="11" customWidth="1"/>
    <col min="3" max="3" width="12.41796875" style="11" customWidth="1"/>
    <col min="4" max="4" width="34.3125" style="11" customWidth="1"/>
    <col min="5" max="5" width="30.89453125" style="11" customWidth="1"/>
    <col min="6" max="6" width="29.1015625" style="11" customWidth="1"/>
    <col min="7" max="7" width="31.3125" style="11" customWidth="1"/>
    <col min="8" max="8" width="25.68359375" style="11" hidden="1" customWidth="1"/>
    <col min="9" max="9" width="33" style="11" bestFit="1" customWidth="1"/>
    <col min="10" max="10" width="32.41796875" style="11" customWidth="1"/>
    <col min="11" max="11" width="30.1015625" style="11" customWidth="1"/>
    <col min="12" max="12" width="30.3125" style="11" customWidth="1"/>
    <col min="13" max="13" width="29.41796875" style="12" bestFit="1" customWidth="1"/>
    <col min="14" max="14" width="10.68359375" style="12" customWidth="1"/>
    <col min="15" max="15" width="17.1015625" style="12" customWidth="1"/>
    <col min="16" max="16" width="10.68359375" style="12" customWidth="1"/>
    <col min="17" max="17" width="15.89453125" style="12" bestFit="1" customWidth="1"/>
    <col min="18" max="18" width="21.3125" style="12" hidden="1" customWidth="1"/>
    <col min="19" max="19" width="56.5234375" style="12" hidden="1" customWidth="1"/>
    <col min="20" max="20" width="23.5234375" style="12" customWidth="1"/>
    <col min="21" max="21" width="27.3125" style="12" customWidth="1"/>
    <col min="22" max="22" width="8.5234375" style="11" customWidth="1"/>
    <col min="23" max="60" width="0" style="11" hidden="1" customWidth="1"/>
    <col min="61" max="16384" width="9.1015625" style="11" hidden="1"/>
  </cols>
  <sheetData>
    <row r="1" spans="1:22" s="12" customFormat="1" ht="15" customHeight="1" x14ac:dyDescent="1.3">
      <c r="A1" s="18"/>
      <c r="B1" s="31"/>
      <c r="C1" s="32"/>
      <c r="D1" s="32"/>
      <c r="E1" s="18"/>
      <c r="F1" s="18"/>
      <c r="G1" s="18"/>
      <c r="H1" s="18"/>
      <c r="I1" s="18"/>
      <c r="J1" s="18"/>
      <c r="K1" s="18"/>
      <c r="L1" s="18"/>
      <c r="M1" s="18"/>
      <c r="N1" s="18"/>
      <c r="O1" s="18"/>
      <c r="P1" s="18"/>
      <c r="Q1" s="18"/>
      <c r="R1" s="18"/>
      <c r="S1" s="18"/>
      <c r="T1" s="18"/>
      <c r="U1" s="18"/>
      <c r="V1" s="18"/>
    </row>
    <row r="2" spans="1:22" s="12" customFormat="1" ht="15.3" x14ac:dyDescent="0.7">
      <c r="A2" s="18"/>
      <c r="B2" s="33"/>
      <c r="C2" s="18"/>
      <c r="D2" s="18"/>
      <c r="E2" s="18"/>
      <c r="F2" s="18"/>
      <c r="G2" s="18"/>
      <c r="H2" s="18"/>
      <c r="I2" s="208"/>
      <c r="J2" s="18"/>
      <c r="K2" s="18"/>
      <c r="L2" s="18"/>
      <c r="M2" s="18"/>
      <c r="N2" s="18"/>
      <c r="O2" s="18"/>
      <c r="P2" s="18"/>
      <c r="Q2" s="18"/>
      <c r="R2" s="18"/>
      <c r="S2" s="18"/>
      <c r="T2" s="18"/>
      <c r="U2" s="18"/>
      <c r="V2" s="18"/>
    </row>
    <row r="3" spans="1:22" s="12" customFormat="1" ht="15.3" x14ac:dyDescent="0.7">
      <c r="A3" s="18"/>
      <c r="B3" s="33"/>
      <c r="C3" s="18"/>
      <c r="D3" s="18"/>
      <c r="E3" s="18"/>
      <c r="F3" s="18"/>
      <c r="G3" s="18"/>
      <c r="H3" s="18"/>
      <c r="I3" s="208"/>
      <c r="J3" s="18"/>
      <c r="K3" s="18"/>
      <c r="L3" s="18"/>
      <c r="M3" s="18"/>
      <c r="N3" s="18"/>
      <c r="O3" s="18"/>
      <c r="P3" s="18"/>
      <c r="Q3" s="18"/>
      <c r="R3" s="18"/>
      <c r="S3" s="18"/>
      <c r="T3" s="18"/>
      <c r="U3" s="18"/>
      <c r="V3" s="18"/>
    </row>
    <row r="4" spans="1:22" s="12" customFormat="1" ht="15.3" x14ac:dyDescent="0.7">
      <c r="A4" s="18"/>
      <c r="B4" s="33"/>
      <c r="C4" s="18"/>
      <c r="D4" s="18"/>
      <c r="E4" s="18"/>
      <c r="F4" s="18"/>
      <c r="G4" s="18"/>
      <c r="H4" s="18"/>
      <c r="I4" s="208"/>
      <c r="J4" s="18"/>
      <c r="K4" s="18"/>
      <c r="L4" s="18"/>
      <c r="M4" s="18"/>
      <c r="N4" s="18"/>
      <c r="O4" s="18"/>
      <c r="P4" s="18"/>
      <c r="Q4" s="18"/>
      <c r="R4" s="18"/>
      <c r="S4" s="18"/>
      <c r="T4" s="18"/>
      <c r="U4" s="18"/>
      <c r="V4" s="18"/>
    </row>
    <row r="5" spans="1:22" s="12" customFormat="1" ht="15.3" x14ac:dyDescent="0.7">
      <c r="A5" s="18"/>
      <c r="B5" s="33"/>
      <c r="C5" s="18"/>
      <c r="D5" s="18"/>
      <c r="E5" s="18"/>
      <c r="F5" s="18"/>
      <c r="G5" s="18"/>
      <c r="H5" s="18"/>
      <c r="I5" s="208"/>
      <c r="J5" s="18"/>
      <c r="K5" s="18"/>
      <c r="L5" s="18"/>
      <c r="M5" s="18"/>
      <c r="N5" s="18"/>
      <c r="O5" s="18"/>
      <c r="P5" s="18"/>
      <c r="Q5" s="18"/>
      <c r="R5" s="18"/>
      <c r="S5" s="18"/>
      <c r="T5" s="18"/>
      <c r="U5" s="18"/>
      <c r="V5" s="18"/>
    </row>
    <row r="6" spans="1:22" s="12" customFormat="1" ht="15.3" x14ac:dyDescent="0.7">
      <c r="A6" s="18"/>
      <c r="B6" s="33"/>
      <c r="C6" s="18"/>
      <c r="D6" s="18"/>
      <c r="E6" s="18"/>
      <c r="F6" s="18"/>
      <c r="G6" s="18"/>
      <c r="H6" s="18"/>
      <c r="I6" s="208"/>
      <c r="J6" s="18"/>
      <c r="K6" s="18"/>
      <c r="L6" s="18"/>
      <c r="M6" s="18"/>
      <c r="N6" s="18"/>
      <c r="O6" s="18"/>
      <c r="P6" s="18"/>
      <c r="Q6" s="18"/>
      <c r="R6" s="18"/>
      <c r="S6" s="18"/>
      <c r="T6" s="18"/>
      <c r="U6" s="18"/>
      <c r="V6" s="18"/>
    </row>
    <row r="7" spans="1:22" s="12" customFormat="1" ht="15.6" thickBot="1" x14ac:dyDescent="0.75">
      <c r="A7" s="18"/>
      <c r="B7" s="33"/>
      <c r="C7" s="18"/>
      <c r="D7" s="18"/>
      <c r="E7" s="18"/>
      <c r="F7" s="18"/>
      <c r="G7" s="18"/>
      <c r="H7" s="18"/>
      <c r="I7" s="208"/>
      <c r="J7" s="18"/>
      <c r="K7" s="18"/>
      <c r="L7" s="18"/>
      <c r="M7" s="18"/>
      <c r="N7" s="18"/>
      <c r="O7" s="18"/>
      <c r="P7" s="18"/>
      <c r="Q7" s="18"/>
      <c r="R7" s="18"/>
      <c r="S7" s="18"/>
      <c r="T7" s="18"/>
      <c r="U7" s="18"/>
      <c r="V7" s="18"/>
    </row>
    <row r="8" spans="1:22" s="12" customFormat="1" ht="15.9" thickTop="1" thickBot="1" x14ac:dyDescent="0.75">
      <c r="A8" s="18"/>
      <c r="B8" s="33"/>
      <c r="C8" s="18"/>
      <c r="D8" s="18"/>
      <c r="E8" s="123" t="s">
        <v>80</v>
      </c>
      <c r="F8" s="18"/>
      <c r="G8" s="18"/>
      <c r="H8" s="18"/>
      <c r="I8" s="18"/>
      <c r="J8" s="18"/>
      <c r="K8" s="18"/>
      <c r="L8" s="18"/>
      <c r="M8" s="18"/>
      <c r="N8" s="18"/>
      <c r="O8" s="18"/>
      <c r="P8" s="18"/>
      <c r="Q8" s="18"/>
      <c r="R8" s="18"/>
      <c r="S8" s="18"/>
      <c r="T8" s="18"/>
      <c r="U8" s="18"/>
      <c r="V8" s="18"/>
    </row>
    <row r="9" spans="1:22" s="12" customFormat="1" ht="15.6" thickTop="1" x14ac:dyDescent="0.7">
      <c r="A9" s="18"/>
      <c r="B9" s="33"/>
      <c r="C9" s="18"/>
      <c r="D9" s="18"/>
      <c r="E9" s="18"/>
      <c r="F9" s="18"/>
      <c r="G9" s="18"/>
      <c r="H9" s="18"/>
      <c r="I9" s="18"/>
      <c r="J9" s="18"/>
      <c r="K9" s="18"/>
      <c r="L9" s="18"/>
      <c r="M9" s="18"/>
      <c r="N9" s="18"/>
      <c r="O9" s="18"/>
      <c r="P9" s="18"/>
      <c r="Q9" s="18"/>
      <c r="R9" s="18"/>
      <c r="S9" s="18"/>
      <c r="T9" s="18"/>
      <c r="U9" s="18"/>
      <c r="V9" s="18"/>
    </row>
    <row r="10" spans="1:22" s="12" customFormat="1" ht="15.6" thickBot="1" x14ac:dyDescent="0.75">
      <c r="A10" s="18"/>
      <c r="B10" s="33"/>
      <c r="C10" s="18"/>
      <c r="D10" s="18"/>
      <c r="E10" s="18"/>
      <c r="F10" s="18"/>
      <c r="G10" s="18"/>
      <c r="H10" s="18"/>
      <c r="I10" s="18"/>
      <c r="J10" s="18"/>
      <c r="K10" s="18"/>
      <c r="L10" s="18"/>
      <c r="M10" s="18"/>
      <c r="N10" s="18"/>
      <c r="O10" s="18"/>
      <c r="P10" s="18"/>
      <c r="Q10" s="18"/>
      <c r="R10" s="18"/>
      <c r="S10" s="18"/>
      <c r="T10" s="18"/>
      <c r="U10" s="18"/>
      <c r="V10" s="18"/>
    </row>
    <row r="11" spans="1:22" ht="15.6" thickBot="1" x14ac:dyDescent="0.75">
      <c r="A11" s="18"/>
      <c r="B11" s="22"/>
      <c r="C11" s="22"/>
      <c r="D11" s="22"/>
      <c r="E11" s="204" t="s">
        <v>81</v>
      </c>
      <c r="F11" s="214"/>
      <c r="G11" s="214"/>
      <c r="H11" s="214"/>
      <c r="I11" s="214"/>
      <c r="J11" s="215" t="s">
        <v>82</v>
      </c>
      <c r="K11" s="216"/>
      <c r="L11" s="216"/>
      <c r="M11" s="79"/>
      <c r="N11" s="79"/>
      <c r="O11" s="79"/>
      <c r="P11" s="80"/>
      <c r="Q11" s="22"/>
      <c r="R11" s="22"/>
      <c r="S11" s="22"/>
      <c r="T11" s="204" t="s">
        <v>83</v>
      </c>
      <c r="U11" s="205"/>
      <c r="V11" s="18"/>
    </row>
    <row r="12" spans="1:22" ht="15.6" thickBot="1" x14ac:dyDescent="0.75">
      <c r="A12" s="18"/>
      <c r="B12" s="68" t="s">
        <v>84</v>
      </c>
      <c r="C12" s="69" t="s">
        <v>257</v>
      </c>
      <c r="D12" s="70" t="s">
        <v>4</v>
      </c>
      <c r="E12" s="168" t="s">
        <v>86</v>
      </c>
      <c r="F12" s="71" t="s">
        <v>87</v>
      </c>
      <c r="G12" s="72" t="s">
        <v>88</v>
      </c>
      <c r="H12" s="73" t="s">
        <v>17</v>
      </c>
      <c r="I12" s="70" t="s">
        <v>89</v>
      </c>
      <c r="J12" s="74" t="s">
        <v>91</v>
      </c>
      <c r="K12" s="75" t="s">
        <v>87</v>
      </c>
      <c r="L12" s="76" t="s">
        <v>88</v>
      </c>
      <c r="M12" s="70" t="s">
        <v>28</v>
      </c>
      <c r="N12" s="73" t="s">
        <v>92</v>
      </c>
      <c r="O12" s="81" t="s">
        <v>93</v>
      </c>
      <c r="P12" s="82" t="s">
        <v>94</v>
      </c>
      <c r="Q12" s="77" t="s">
        <v>95</v>
      </c>
      <c r="R12" s="73" t="s">
        <v>96</v>
      </c>
      <c r="S12" s="71" t="s">
        <v>97</v>
      </c>
      <c r="T12" s="129" t="s">
        <v>98</v>
      </c>
      <c r="U12" s="130" t="s">
        <v>99</v>
      </c>
      <c r="V12" s="18"/>
    </row>
    <row r="13" spans="1:22" ht="15.3" x14ac:dyDescent="0.7">
      <c r="A13" s="18"/>
      <c r="B13" s="165" t="s">
        <v>100</v>
      </c>
      <c r="C13" s="138">
        <v>123456</v>
      </c>
      <c r="D13" s="166" t="s">
        <v>101</v>
      </c>
      <c r="E13" s="167" t="s">
        <v>102</v>
      </c>
      <c r="F13" s="138" t="s">
        <v>103</v>
      </c>
      <c r="G13" s="139" t="s">
        <v>104</v>
      </c>
      <c r="H13" s="140"/>
      <c r="I13" s="141" t="s">
        <v>21</v>
      </c>
      <c r="J13" s="142" t="s">
        <v>105</v>
      </c>
      <c r="K13" s="138" t="s">
        <v>106</v>
      </c>
      <c r="L13" s="139" t="s">
        <v>107</v>
      </c>
      <c r="M13" s="143" t="s">
        <v>108</v>
      </c>
      <c r="N13" s="138" t="s">
        <v>109</v>
      </c>
      <c r="O13" s="144">
        <v>53</v>
      </c>
      <c r="P13" s="145" t="s">
        <v>185</v>
      </c>
      <c r="Q13" s="146" t="s">
        <v>111</v>
      </c>
      <c r="R13" s="147" t="s">
        <v>112</v>
      </c>
      <c r="S13" s="148" t="s">
        <v>113</v>
      </c>
      <c r="T13" s="151" t="str" cm="1">
        <f t="array" ref="T13">IF(E13="","",IF(OR(ISNUMBER(SEARCH({"10.205.37";"10.205.38";"10.205.69";"10.205.31";"10.205.28";"10.205.27"},E13))),"Platform-Runtime and Azure OPS",
IF(OR(ISNUMBER(SEARCH({"10.229.16";"10.229.17";"10.229.18";"10.229.19";"10.229.20";"10.229.21";"10.229.25";"10.229.26"},E13))),"SDDC",
IF(OR(ISNUMBER(SEARCH({"10.220";"10.221";"10.222";"10.223";"10.224";"10.225";"10.229";"185.130.242"},E13))),"SDDC",
IF(OR(ISNUMBER(SEARCH({"10.226";"10.227";"10.205"},E13))),"Azure OPS and SDDC",
IF(AND(NOT(ISNUMBER(SEARCH({"10.220";"10.221";"10.222";"10.223";"10.224";"10.225";"10.229";"10.226";"10.227";"10.205";"10.205.37";"10.205.38";"10.205.69";"10.205.31";"10.205.28";"10.205.27";"10.229.16";"10.229.17";"10.229.18";"10.229.19";"10.229.20";"10.229.21";"10.229.25";"10.229.26"},E13)))),"SCT SI - OCD",""))))))</f>
        <v>SCT SI - OCD</v>
      </c>
      <c r="U13" s="152" t="str" cm="1">
        <f t="array" ref="U13">IF(J13="","",IF(OR(ISNUMBER(SEARCH({"10.205.37";"10.205.38";"10.205.69";"10.205.31";"10.205.28";"10.205.27"},J13))),"Platform-Runtime and Azure OPS",
IF(OR(ISNUMBER(SEARCH({"10.229.16";"10.229.17";"10.229.18";"10.229.19";"10.229.20";"10.229.21";"10.229.25";"10.229.26"},J13))),"SDDC",
IF(OR(ISNUMBER(SEARCH({"10.220";"10.221";"10.222";"10.223";"10.224";"10.225";"10.229";"185.130.242"},J13))),"SDDC",
IF(OR(ISNUMBER(SEARCH({"10.226";"10.227";"10.205"},J13))),"Azure OPS and SDDC",
IF(AND(NOT(ISNUMBER(SEARCH({"10.220";"10.221";"10.222";"10.223";"10.224";"10.225";"10.229";"10.226";"10.227";"10.205";"10.205.37";"10.205.38";"10.205.69";"10.205.31";"10.205.28";"10.205.27";"10.229.16";"10.229.17";"10.229.18";"10.229.19";"10.229.20";"10.229.21";"10.229.25";"10.229.26"},J13)))),"SCT SI - OCD",""))))))</f>
        <v>SCT SI - OCD</v>
      </c>
      <c r="V13" s="126"/>
    </row>
    <row r="14" spans="1:22" ht="15.3" x14ac:dyDescent="0.7">
      <c r="A14" s="18"/>
      <c r="B14" s="78">
        <v>16</v>
      </c>
      <c r="C14" s="169" t="e">
        <f>('3. Contact'!#REF!)</f>
        <v>#REF!</v>
      </c>
      <c r="D14" s="37"/>
      <c r="E14" s="38"/>
      <c r="F14" s="36"/>
      <c r="G14" s="36"/>
      <c r="H14" s="36"/>
      <c r="I14" s="36"/>
      <c r="J14" s="38"/>
      <c r="K14" s="36"/>
      <c r="L14" s="36"/>
      <c r="M14" s="36"/>
      <c r="N14" s="36"/>
      <c r="O14" s="159"/>
      <c r="P14" s="40"/>
      <c r="Q14" s="41" t="s">
        <v>47</v>
      </c>
      <c r="R14" s="42"/>
      <c r="S14" s="43"/>
      <c r="T14" s="44" t="str" cm="1">
        <f t="array" ref="T14">IF(E14="","",IF(OR(ISNUMBER(SEARCH({"10.205.37";"10.205.38";"10.205.69";"10.205.31";"10.205.28";"10.205.27"},E14))),"Platform-Runtime and Azure OPS",
IF(OR(ISNUMBER(SEARCH({"10.229.16";"10.229.17";"10.229.18";"10.229.19";"10.229.20";"10.229.21";"10.229.25";"10.229.26"},E14))),"SDDC",
IF(OR(ISNUMBER(SEARCH({"10.220";"10.221";"10.222";"10.223";"10.224";"10.225";"10.229";"185.130.242"},E14))),"SDDC",
IF(OR(ISNUMBER(SEARCH({"10.226";"10.227";"10.205"},E14))),"Azure OPS and SDDC",
IF(AND(NOT(ISNUMBER(SEARCH({"10.220";"10.221";"10.222";"10.223";"10.224";"10.225";"10.229";"10.226";"10.227";"10.205";"10.205.37";"10.205.38";"10.205.69";"10.205.31";"10.205.28";"10.205.27";"10.229.16";"10.229.17";"10.229.18";"10.229.19";"10.229.20";"10.229.21";"10.229.25";"10.229.26"},E14)))),"SCT SI - OCD",""))))))</f>
        <v/>
      </c>
      <c r="U14" s="50" t="str" cm="1">
        <f t="array" ref="U14">IF(J14="","",IF(OR(ISNUMBER(SEARCH({"10.205.37";"10.205.38";"10.205.69";"10.205.31";"10.205.28";"10.205.27"},J14))),"Platform-Runtime and Azure OPS",
IF(OR(ISNUMBER(SEARCH({"10.229.16";"10.229.17";"10.229.18";"10.229.19";"10.229.20";"10.229.21";"10.229.25";"10.229.26"},J14))),"SDDC",
IF(OR(ISNUMBER(SEARCH({"10.220";"10.221";"10.222";"10.223";"10.224";"10.225";"10.229";"185.130.242"},J14))),"SDDC",
IF(OR(ISNUMBER(SEARCH({"10.226";"10.227";"10.205"},J14))),"Azure OPS and SDDC",
IF(AND(NOT(ISNUMBER(SEARCH({"10.220";"10.221";"10.222";"10.223";"10.224";"10.225";"10.229";"10.226";"10.227";"10.205";"10.205.37";"10.205.38";"10.205.69";"10.205.31";"10.205.28";"10.205.27";"10.229.16";"10.229.17";"10.229.18";"10.229.19";"10.229.20";"10.229.21";"10.229.25";"10.229.26"},J14)))),"SCT SI - OCD",""))))))</f>
        <v/>
      </c>
      <c r="V14" s="126"/>
    </row>
    <row r="15" spans="1:22" ht="15.3" x14ac:dyDescent="0.7">
      <c r="A15" s="18"/>
      <c r="B15" s="45">
        <v>17</v>
      </c>
      <c r="C15" s="169" t="e">
        <f>('3. Contact'!#REF!)</f>
        <v>#REF!</v>
      </c>
      <c r="D15" s="47"/>
      <c r="E15" s="49"/>
      <c r="F15" s="36"/>
      <c r="G15" s="36"/>
      <c r="H15" s="36"/>
      <c r="I15" s="46"/>
      <c r="J15" s="49"/>
      <c r="K15" s="36"/>
      <c r="L15" s="36"/>
      <c r="M15" s="36"/>
      <c r="N15" s="36"/>
      <c r="O15" s="159"/>
      <c r="P15" s="40"/>
      <c r="Q15" s="41" t="s">
        <v>47</v>
      </c>
      <c r="R15" s="42"/>
      <c r="S15" s="50"/>
      <c r="T15" s="44" t="str" cm="1">
        <f t="array" ref="T15">IF(E15="","",IF(OR(ISNUMBER(SEARCH({"10.205.37";"10.205.38";"10.205.69";"10.205.31";"10.205.28";"10.205.27"},E15))),"Platform-Runtime and Azure OPS",
IF(OR(ISNUMBER(SEARCH({"10.229.16";"10.229.17";"10.229.18";"10.229.19";"10.229.20";"10.229.21";"10.229.25";"10.229.26"},E15))),"SDDC",
IF(OR(ISNUMBER(SEARCH({"10.220";"10.221";"10.222";"10.223";"10.224";"10.225";"10.229";"185.130.242"},E15))),"SDDC",
IF(OR(ISNUMBER(SEARCH({"10.226";"10.227";"10.205"},E15))),"Azure OPS and SDDC",
IF(AND(NOT(ISNUMBER(SEARCH({"10.220";"10.221";"10.222";"10.223";"10.224";"10.225";"10.229";"10.226";"10.227";"10.205";"10.205.37";"10.205.38";"10.205.69";"10.205.31";"10.205.28";"10.205.27";"10.229.16";"10.229.17";"10.229.18";"10.229.19";"10.229.20";"10.229.21";"10.229.25";"10.229.26"},E15)))),"SCT SI - OCD",""))))))</f>
        <v/>
      </c>
      <c r="U15" s="50" t="str" cm="1">
        <f t="array" ref="U15">IF(J15="","",IF(OR(ISNUMBER(SEARCH({"10.205.37";"10.205.38";"10.205.69";"10.205.31";"10.205.28";"10.205.27"},J15))),"Platform-Runtime and Azure OPS",
IF(OR(ISNUMBER(SEARCH({"10.229.16";"10.229.17";"10.229.18";"10.229.19";"10.229.20";"10.229.21";"10.229.25";"10.229.26"},J15))),"SDDC",
IF(OR(ISNUMBER(SEARCH({"10.220";"10.221";"10.222";"10.223";"10.224";"10.225";"10.229";"185.130.242"},J15))),"SDDC",
IF(OR(ISNUMBER(SEARCH({"10.226";"10.227";"10.205"},J15))),"Azure OPS and SDDC",
IF(AND(NOT(ISNUMBER(SEARCH({"10.220";"10.221";"10.222";"10.223";"10.224";"10.225";"10.229";"10.226";"10.227";"10.205";"10.205.37";"10.205.38";"10.205.69";"10.205.31";"10.205.28";"10.205.27";"10.229.16";"10.229.17";"10.229.18";"10.229.19";"10.229.20";"10.229.21";"10.229.25";"10.229.26"},J15)))),"SCT SI - OCD",""))))))</f>
        <v/>
      </c>
      <c r="V15" s="126"/>
    </row>
    <row r="16" spans="1:22" ht="15.3" x14ac:dyDescent="0.7">
      <c r="A16" s="18"/>
      <c r="B16" s="45">
        <v>18</v>
      </c>
      <c r="C16" s="169" t="e">
        <f>('3. Contact'!#REF!)</f>
        <v>#REF!</v>
      </c>
      <c r="D16" s="47"/>
      <c r="E16" s="124"/>
      <c r="F16" s="46"/>
      <c r="G16" s="36"/>
      <c r="H16" s="46"/>
      <c r="I16" s="46"/>
      <c r="J16" s="49"/>
      <c r="K16" s="36"/>
      <c r="L16" s="36"/>
      <c r="M16" s="36"/>
      <c r="N16" s="36"/>
      <c r="O16" s="159"/>
      <c r="P16" s="40"/>
      <c r="Q16" s="41" t="s">
        <v>47</v>
      </c>
      <c r="R16" s="42"/>
      <c r="S16" s="50"/>
      <c r="T16" s="44" t="str" cm="1">
        <f t="array" ref="T16">IF(E16="","",IF(OR(ISNUMBER(SEARCH({"10.205.37";"10.205.38";"10.205.69";"10.205.31";"10.205.28";"10.205.27"},E16))),"Platform-Runtime and Azure OPS",
IF(OR(ISNUMBER(SEARCH({"10.229.16";"10.229.17";"10.229.18";"10.229.19";"10.229.20";"10.229.21";"10.229.25";"10.229.26"},E16))),"SDDC",
IF(OR(ISNUMBER(SEARCH({"10.220";"10.221";"10.222";"10.223";"10.224";"10.225";"10.229";"185.130.242"},E16))),"SDDC",
IF(OR(ISNUMBER(SEARCH({"10.226";"10.227";"10.205"},E16))),"Azure OPS and SDDC",
IF(AND(NOT(ISNUMBER(SEARCH({"10.220";"10.221";"10.222";"10.223";"10.224";"10.225";"10.229";"10.226";"10.227";"10.205";"10.205.37";"10.205.38";"10.205.69";"10.205.31";"10.205.28";"10.205.27";"10.229.16";"10.229.17";"10.229.18";"10.229.19";"10.229.20";"10.229.21";"10.229.25";"10.229.26"},E16)))),"SCT SI - OCD",""))))))</f>
        <v/>
      </c>
      <c r="U16" s="50" t="str" cm="1">
        <f t="array" ref="U16">IF(J16="","",IF(OR(ISNUMBER(SEARCH({"10.205.37";"10.205.38";"10.205.69";"10.205.31";"10.205.28";"10.205.27"},J16))),"Platform-Runtime and Azure OPS",
IF(OR(ISNUMBER(SEARCH({"10.229.16";"10.229.17";"10.229.18";"10.229.19";"10.229.20";"10.229.21";"10.229.25";"10.229.26"},J16))),"SDDC",
IF(OR(ISNUMBER(SEARCH({"10.220";"10.221";"10.222";"10.223";"10.224";"10.225";"10.229";"185.130.242"},J16))),"SDDC",
IF(OR(ISNUMBER(SEARCH({"10.226";"10.227";"10.205"},J16))),"Azure OPS and SDDC",
IF(AND(NOT(ISNUMBER(SEARCH({"10.220";"10.221";"10.222";"10.223";"10.224";"10.225";"10.229";"10.226";"10.227";"10.205";"10.205.37";"10.205.38";"10.205.69";"10.205.31";"10.205.28";"10.205.27";"10.229.16";"10.229.17";"10.229.18";"10.229.19";"10.229.20";"10.229.21";"10.229.25";"10.229.26"},J16)))),"SCT SI - OCD",""))))))</f>
        <v/>
      </c>
      <c r="V16" s="126"/>
    </row>
    <row r="17" spans="1:22" ht="15.3" x14ac:dyDescent="0.7">
      <c r="A17" s="18"/>
      <c r="B17" s="45">
        <v>19</v>
      </c>
      <c r="C17" s="169" t="e">
        <f>('3. Contact'!#REF!)</f>
        <v>#REF!</v>
      </c>
      <c r="D17" s="47"/>
      <c r="E17" s="49"/>
      <c r="F17" s="46"/>
      <c r="G17" s="36"/>
      <c r="H17" s="46"/>
      <c r="I17" s="46"/>
      <c r="J17" s="49"/>
      <c r="K17" s="36"/>
      <c r="L17" s="36"/>
      <c r="M17" s="36"/>
      <c r="N17" s="36"/>
      <c r="O17" s="159"/>
      <c r="P17" s="40"/>
      <c r="Q17" s="41" t="s">
        <v>47</v>
      </c>
      <c r="R17" s="42"/>
      <c r="S17" s="50"/>
      <c r="T17" s="44" t="str" cm="1">
        <f t="array" ref="T17">IF(E17="","",IF(OR(ISNUMBER(SEARCH({"10.205.37";"10.205.38";"10.205.69";"10.205.31";"10.205.28";"10.205.27"},E17))),"Platform-Runtime and Azure OPS",
IF(OR(ISNUMBER(SEARCH({"10.229.16";"10.229.17";"10.229.18";"10.229.19";"10.229.20";"10.229.21";"10.229.25";"10.229.26"},E17))),"SDDC",
IF(OR(ISNUMBER(SEARCH({"10.220";"10.221";"10.222";"10.223";"10.224";"10.225";"10.229";"185.130.242"},E17))),"SDDC",
IF(OR(ISNUMBER(SEARCH({"10.226";"10.227";"10.205"},E17))),"Azure OPS and SDDC",
IF(AND(NOT(ISNUMBER(SEARCH({"10.220";"10.221";"10.222";"10.223";"10.224";"10.225";"10.229";"10.226";"10.227";"10.205";"10.205.37";"10.205.38";"10.205.69";"10.205.31";"10.205.28";"10.205.27";"10.229.16";"10.229.17";"10.229.18";"10.229.19";"10.229.20";"10.229.21";"10.229.25";"10.229.26"},E17)))),"SCT SI - OCD",""))))))</f>
        <v/>
      </c>
      <c r="U17" s="50" t="str" cm="1">
        <f t="array" ref="U17">IF(J17="","",IF(OR(ISNUMBER(SEARCH({"10.205.37";"10.205.38";"10.205.69";"10.205.31";"10.205.28";"10.205.27"},J17))),"Platform-Runtime and Azure OPS",
IF(OR(ISNUMBER(SEARCH({"10.229.16";"10.229.17";"10.229.18";"10.229.19";"10.229.20";"10.229.21";"10.229.25";"10.229.26"},J17))),"SDDC",
IF(OR(ISNUMBER(SEARCH({"10.220";"10.221";"10.222";"10.223";"10.224";"10.225";"10.229";"185.130.242"},J17))),"SDDC",
IF(OR(ISNUMBER(SEARCH({"10.226";"10.227";"10.205"},J17))),"Azure OPS and SDDC",
IF(AND(NOT(ISNUMBER(SEARCH({"10.220";"10.221";"10.222";"10.223";"10.224";"10.225";"10.229";"10.226";"10.227";"10.205";"10.205.37";"10.205.38";"10.205.69";"10.205.31";"10.205.28";"10.205.27";"10.229.16";"10.229.17";"10.229.18";"10.229.19";"10.229.20";"10.229.21";"10.229.25";"10.229.26"},J17)))),"SCT SI - OCD",""))))))</f>
        <v/>
      </c>
      <c r="V17" s="126"/>
    </row>
    <row r="18" spans="1:22" ht="15.3" x14ac:dyDescent="0.7">
      <c r="A18" s="18"/>
      <c r="B18" s="45">
        <v>20</v>
      </c>
      <c r="C18" s="169" t="e">
        <f>('3. Contact'!#REF!)</f>
        <v>#REF!</v>
      </c>
      <c r="D18" s="47"/>
      <c r="E18" s="49"/>
      <c r="F18" s="46"/>
      <c r="G18" s="36"/>
      <c r="H18" s="46"/>
      <c r="I18" s="46"/>
      <c r="J18" s="49"/>
      <c r="K18" s="36"/>
      <c r="L18" s="36"/>
      <c r="M18" s="36"/>
      <c r="N18" s="36"/>
      <c r="O18" s="159"/>
      <c r="P18" s="40"/>
      <c r="Q18" s="41" t="s">
        <v>47</v>
      </c>
      <c r="R18" s="42"/>
      <c r="S18" s="50"/>
      <c r="T18" s="44" t="str" cm="1">
        <f t="array" ref="T18">IF(E18="","",IF(OR(ISNUMBER(SEARCH({"10.205.37";"10.205.38";"10.205.69";"10.205.31";"10.205.28";"10.205.27"},E18))),"Platform-Runtime and Azure OPS",
IF(OR(ISNUMBER(SEARCH({"10.229.16";"10.229.17";"10.229.18";"10.229.19";"10.229.20";"10.229.21";"10.229.25";"10.229.26"},E18))),"SDDC",
IF(OR(ISNUMBER(SEARCH({"10.220";"10.221";"10.222";"10.223";"10.224";"10.225";"10.229";"185.130.242"},E18))),"SDDC",
IF(OR(ISNUMBER(SEARCH({"10.226";"10.227";"10.205"},E18))),"Azure OPS and SDDC",
IF(AND(NOT(ISNUMBER(SEARCH({"10.220";"10.221";"10.222";"10.223";"10.224";"10.225";"10.229";"10.226";"10.227";"10.205";"10.205.37";"10.205.38";"10.205.69";"10.205.31";"10.205.28";"10.205.27";"10.229.16";"10.229.17";"10.229.18";"10.229.19";"10.229.20";"10.229.21";"10.229.25";"10.229.26"},E18)))),"SCT SI - OCD",""))))))</f>
        <v/>
      </c>
      <c r="U18" s="50" t="str" cm="1">
        <f t="array" ref="U18">IF(J18="","",IF(OR(ISNUMBER(SEARCH({"10.205.37";"10.205.38";"10.205.69";"10.205.31";"10.205.28";"10.205.27"},J18))),"Platform-Runtime and Azure OPS",
IF(OR(ISNUMBER(SEARCH({"10.229.16";"10.229.17";"10.229.18";"10.229.19";"10.229.20";"10.229.21";"10.229.25";"10.229.26"},J18))),"SDDC",
IF(OR(ISNUMBER(SEARCH({"10.220";"10.221";"10.222";"10.223";"10.224";"10.225";"10.229";"185.130.242"},J18))),"SDDC",
IF(OR(ISNUMBER(SEARCH({"10.226";"10.227";"10.205"},J18))),"Azure OPS and SDDC",
IF(AND(NOT(ISNUMBER(SEARCH({"10.220";"10.221";"10.222";"10.223";"10.224";"10.225";"10.229";"10.226";"10.227";"10.205";"10.205.37";"10.205.38";"10.205.69";"10.205.31";"10.205.28";"10.205.27";"10.229.16";"10.229.17";"10.229.18";"10.229.19";"10.229.20";"10.229.21";"10.229.25";"10.229.26"},J18)))),"SCT SI - OCD",""))))))</f>
        <v/>
      </c>
      <c r="V18" s="126"/>
    </row>
    <row r="19" spans="1:22" ht="15.3" x14ac:dyDescent="0.7">
      <c r="A19" s="18"/>
      <c r="B19" s="45">
        <v>21</v>
      </c>
      <c r="C19" s="169" t="e">
        <f>('3. Contact'!#REF!)</f>
        <v>#REF!</v>
      </c>
      <c r="D19" s="47"/>
      <c r="E19" s="49"/>
      <c r="F19" s="46"/>
      <c r="G19" s="36"/>
      <c r="H19" s="46"/>
      <c r="I19" s="46"/>
      <c r="J19" s="49"/>
      <c r="K19" s="36"/>
      <c r="L19" s="36"/>
      <c r="M19" s="36"/>
      <c r="N19" s="36"/>
      <c r="O19" s="159"/>
      <c r="P19" s="40"/>
      <c r="Q19" s="41" t="s">
        <v>47</v>
      </c>
      <c r="R19" s="42"/>
      <c r="S19" s="50"/>
      <c r="T19" s="44" t="str" cm="1">
        <f t="array" ref="T19">IF(E19="","",IF(OR(ISNUMBER(SEARCH({"10.205.37";"10.205.38";"10.205.69";"10.205.31";"10.205.28";"10.205.27"},E19))),"Platform-Runtime and Azure OPS",
IF(OR(ISNUMBER(SEARCH({"10.229.16";"10.229.17";"10.229.18";"10.229.19";"10.229.20";"10.229.21";"10.229.25";"10.229.26"},E19))),"SDDC",
IF(OR(ISNUMBER(SEARCH({"10.220";"10.221";"10.222";"10.223";"10.224";"10.225";"10.229";"185.130.242"},E19))),"SDDC",
IF(OR(ISNUMBER(SEARCH({"10.226";"10.227";"10.205"},E19))),"Azure OPS and SDDC",
IF(AND(NOT(ISNUMBER(SEARCH({"10.220";"10.221";"10.222";"10.223";"10.224";"10.225";"10.229";"10.226";"10.227";"10.205";"10.205.37";"10.205.38";"10.205.69";"10.205.31";"10.205.28";"10.205.27";"10.229.16";"10.229.17";"10.229.18";"10.229.19";"10.229.20";"10.229.21";"10.229.25";"10.229.26"},E19)))),"SCT SI - OCD",""))))))</f>
        <v/>
      </c>
      <c r="U19" s="50" t="str" cm="1">
        <f t="array" ref="U19">IF(J19="","",IF(OR(ISNUMBER(SEARCH({"10.205.37";"10.205.38";"10.205.69";"10.205.31";"10.205.28";"10.205.27"},J19))),"Platform-Runtime and Azure OPS",
IF(OR(ISNUMBER(SEARCH({"10.229.16";"10.229.17";"10.229.18";"10.229.19";"10.229.20";"10.229.21";"10.229.25";"10.229.26"},J19))),"SDDC",
IF(OR(ISNUMBER(SEARCH({"10.220";"10.221";"10.222";"10.223";"10.224";"10.225";"10.229";"185.130.242"},J19))),"SDDC",
IF(OR(ISNUMBER(SEARCH({"10.226";"10.227";"10.205"},J19))),"Azure OPS and SDDC",
IF(AND(NOT(ISNUMBER(SEARCH({"10.220";"10.221";"10.222";"10.223";"10.224";"10.225";"10.229";"10.226";"10.227";"10.205";"10.205.37";"10.205.38";"10.205.69";"10.205.31";"10.205.28";"10.205.27";"10.229.16";"10.229.17";"10.229.18";"10.229.19";"10.229.20";"10.229.21";"10.229.25";"10.229.26"},J19)))),"SCT SI - OCD",""))))))</f>
        <v/>
      </c>
      <c r="V19" s="126"/>
    </row>
    <row r="20" spans="1:22" ht="15.3" x14ac:dyDescent="0.7">
      <c r="A20" s="18"/>
      <c r="B20" s="45">
        <v>22</v>
      </c>
      <c r="C20" s="169" t="e">
        <f>('3. Contact'!#REF!)</f>
        <v>#REF!</v>
      </c>
      <c r="D20" s="47"/>
      <c r="E20" s="49"/>
      <c r="F20" s="46"/>
      <c r="G20" s="36"/>
      <c r="H20" s="46"/>
      <c r="I20" s="46"/>
      <c r="J20" s="49"/>
      <c r="K20" s="36"/>
      <c r="L20" s="36"/>
      <c r="M20" s="36"/>
      <c r="N20" s="36"/>
      <c r="O20" s="159"/>
      <c r="P20" s="40"/>
      <c r="Q20" s="41" t="s">
        <v>47</v>
      </c>
      <c r="R20" s="42"/>
      <c r="S20" s="50"/>
      <c r="T20" s="44" t="str" cm="1">
        <f t="array" ref="T20">IF(E20="","",IF(OR(ISNUMBER(SEARCH({"10.205.37";"10.205.38";"10.205.69";"10.205.31";"10.205.28";"10.205.27"},E20))),"Platform-Runtime and Azure OPS",
IF(OR(ISNUMBER(SEARCH({"10.229.16";"10.229.17";"10.229.18";"10.229.19";"10.229.20";"10.229.21";"10.229.25";"10.229.26"},E20))),"SDDC",
IF(OR(ISNUMBER(SEARCH({"10.220";"10.221";"10.222";"10.223";"10.224";"10.225";"10.229";"185.130.242"},E20))),"SDDC",
IF(OR(ISNUMBER(SEARCH({"10.226";"10.227";"10.205"},E20))),"Azure OPS and SDDC",
IF(AND(NOT(ISNUMBER(SEARCH({"10.220";"10.221";"10.222";"10.223";"10.224";"10.225";"10.229";"10.226";"10.227";"10.205";"10.205.37";"10.205.38";"10.205.69";"10.205.31";"10.205.28";"10.205.27";"10.229.16";"10.229.17";"10.229.18";"10.229.19";"10.229.20";"10.229.21";"10.229.25";"10.229.26"},E20)))),"SCT SI - OCD",""))))))</f>
        <v/>
      </c>
      <c r="U20" s="50" t="str" cm="1">
        <f t="array" ref="U20">IF(J20="","",IF(OR(ISNUMBER(SEARCH({"10.205.37";"10.205.38";"10.205.69";"10.205.31";"10.205.28";"10.205.27"},J20))),"Platform-Runtime and Azure OPS",
IF(OR(ISNUMBER(SEARCH({"10.229.16";"10.229.17";"10.229.18";"10.229.19";"10.229.20";"10.229.21";"10.229.25";"10.229.26"},J20))),"SDDC",
IF(OR(ISNUMBER(SEARCH({"10.220";"10.221";"10.222";"10.223";"10.224";"10.225";"10.229";"185.130.242"},J20))),"SDDC",
IF(OR(ISNUMBER(SEARCH({"10.226";"10.227";"10.205"},J20))),"Azure OPS and SDDC",
IF(AND(NOT(ISNUMBER(SEARCH({"10.220";"10.221";"10.222";"10.223";"10.224";"10.225";"10.229";"10.226";"10.227";"10.205";"10.205.37";"10.205.38";"10.205.69";"10.205.31";"10.205.28";"10.205.27";"10.229.16";"10.229.17";"10.229.18";"10.229.19";"10.229.20";"10.229.21";"10.229.25";"10.229.26"},J20)))),"SCT SI - OCD",""))))))</f>
        <v/>
      </c>
      <c r="V20" s="126"/>
    </row>
    <row r="21" spans="1:22" ht="15.3" x14ac:dyDescent="0.7">
      <c r="A21" s="18"/>
      <c r="B21" s="45">
        <v>23</v>
      </c>
      <c r="C21" s="169" t="e">
        <f>('3. Contact'!#REF!)</f>
        <v>#REF!</v>
      </c>
      <c r="D21" s="47"/>
      <c r="E21" s="49"/>
      <c r="F21" s="46"/>
      <c r="G21" s="36"/>
      <c r="H21" s="46"/>
      <c r="I21" s="46"/>
      <c r="J21" s="49"/>
      <c r="K21" s="36"/>
      <c r="L21" s="36"/>
      <c r="M21" s="36"/>
      <c r="N21" s="36"/>
      <c r="O21" s="159"/>
      <c r="P21" s="40"/>
      <c r="Q21" s="41" t="s">
        <v>47</v>
      </c>
      <c r="R21" s="42"/>
      <c r="S21" s="50"/>
      <c r="T21" s="44" t="str" cm="1">
        <f t="array" ref="T21">IF(E21="","",IF(OR(ISNUMBER(SEARCH({"10.205.37";"10.205.38";"10.205.69";"10.205.31";"10.205.28";"10.205.27"},E21))),"Platform-Runtime and Azure OPS",
IF(OR(ISNUMBER(SEARCH({"10.229.16";"10.229.17";"10.229.18";"10.229.19";"10.229.20";"10.229.21";"10.229.25";"10.229.26"},E21))),"SDDC",
IF(OR(ISNUMBER(SEARCH({"10.220";"10.221";"10.222";"10.223";"10.224";"10.225";"10.229";"185.130.242"},E21))),"SDDC",
IF(OR(ISNUMBER(SEARCH({"10.226";"10.227";"10.205"},E21))),"Azure OPS and SDDC",
IF(AND(NOT(ISNUMBER(SEARCH({"10.220";"10.221";"10.222";"10.223";"10.224";"10.225";"10.229";"10.226";"10.227";"10.205";"10.205.37";"10.205.38";"10.205.69";"10.205.31";"10.205.28";"10.205.27";"10.229.16";"10.229.17";"10.229.18";"10.229.19";"10.229.20";"10.229.21";"10.229.25";"10.229.26"},E21)))),"SCT SI - OCD",""))))))</f>
        <v/>
      </c>
      <c r="U21" s="134" t="str" cm="1">
        <f t="array" ref="U21">IF(J21="","",IF(OR(ISNUMBER(SEARCH({"10.205.37";"10.205.38";"10.205.69";"10.205.31";"10.205.28";"10.205.27"},J21))),"Platform-Runtime and Azure OPS",
IF(OR(ISNUMBER(SEARCH({"10.229.16";"10.229.17";"10.229.18";"10.229.19";"10.229.20";"10.229.21";"10.229.25";"10.229.26"},J21))),"SDDC",
IF(OR(ISNUMBER(SEARCH({"10.220";"10.221";"10.222";"10.223";"10.224";"10.225";"10.229";"185.130.242"},J21))),"SDDC",
IF(OR(ISNUMBER(SEARCH({"10.226";"10.227";"10.205"},J21))),"Azure OPS and SDDC",
IF(AND(NOT(ISNUMBER(SEARCH({"10.220";"10.221";"10.222";"10.223";"10.224";"10.225";"10.229";"10.226";"10.227";"10.205";"10.205.37";"10.205.38";"10.205.69";"10.205.31";"10.205.28";"10.205.27";"10.229.16";"10.229.17";"10.229.18";"10.229.19";"10.229.20";"10.229.21";"10.229.25";"10.229.26"},J21)))),"SCT SI - OCD",""))))))</f>
        <v/>
      </c>
      <c r="V21" s="18"/>
    </row>
    <row r="22" spans="1:22" ht="15.3" x14ac:dyDescent="0.7">
      <c r="A22" s="18"/>
      <c r="B22" s="45">
        <v>24</v>
      </c>
      <c r="C22" s="169" t="e">
        <f>('3. Contact'!#REF!)</f>
        <v>#REF!</v>
      </c>
      <c r="D22" s="47"/>
      <c r="E22" s="48"/>
      <c r="F22" s="46"/>
      <c r="G22" s="36"/>
      <c r="H22" s="46"/>
      <c r="I22" s="46"/>
      <c r="J22" s="49"/>
      <c r="K22" s="36"/>
      <c r="L22" s="36"/>
      <c r="M22" s="36"/>
      <c r="N22" s="36"/>
      <c r="O22" s="159"/>
      <c r="P22" s="40"/>
      <c r="Q22" s="41" t="s">
        <v>47</v>
      </c>
      <c r="R22" s="42"/>
      <c r="S22" s="50"/>
      <c r="T22" s="44" t="str" cm="1">
        <f t="array" ref="T22">IF(E22="","",IF(OR(ISNUMBER(SEARCH({"10.205.37";"10.205.38";"10.205.69";"10.205.31";"10.205.28";"10.205.27"},E22))),"Platform-Runtime and Azure OPS",
IF(OR(ISNUMBER(SEARCH({"10.229.16";"10.229.17";"10.229.18";"10.229.19";"10.229.20";"10.229.21";"10.229.25";"10.229.26"},E22))),"SDDC",
IF(OR(ISNUMBER(SEARCH({"10.220";"10.221";"10.222";"10.223";"10.224";"10.225";"10.229";"185.130.242"},E22))),"SDDC",
IF(OR(ISNUMBER(SEARCH({"10.226";"10.227";"10.205"},E22))),"Azure OPS and SDDC",
IF(AND(NOT(ISNUMBER(SEARCH({"10.220";"10.221";"10.222";"10.223";"10.224";"10.225";"10.229";"10.226";"10.227";"10.205";"10.205.37";"10.205.38";"10.205.69";"10.205.31";"10.205.28";"10.205.27";"10.229.16";"10.229.17";"10.229.18";"10.229.19";"10.229.20";"10.229.21";"10.229.25";"10.229.26"},E22)))),"SCT SI - OCD",""))))))</f>
        <v/>
      </c>
      <c r="U22" s="134" t="str" cm="1">
        <f t="array" ref="U22">IF(J22="","",IF(OR(ISNUMBER(SEARCH({"10.205.37";"10.205.38";"10.205.69";"10.205.31";"10.205.28";"10.205.27"},J22))),"Platform-Runtime and Azure OPS",
IF(OR(ISNUMBER(SEARCH({"10.229.16";"10.229.17";"10.229.18";"10.229.19";"10.229.20";"10.229.21";"10.229.25";"10.229.26"},J22))),"SDDC",
IF(OR(ISNUMBER(SEARCH({"10.220";"10.221";"10.222";"10.223";"10.224";"10.225";"10.229";"185.130.242"},J22))),"SDDC",
IF(OR(ISNUMBER(SEARCH({"10.226";"10.227";"10.205"},J22))),"Azure OPS and SDDC",
IF(AND(NOT(ISNUMBER(SEARCH({"10.220";"10.221";"10.222";"10.223";"10.224";"10.225";"10.229";"10.226";"10.227";"10.205";"10.205.37";"10.205.38";"10.205.69";"10.205.31";"10.205.28";"10.205.27";"10.229.16";"10.229.17";"10.229.18";"10.229.19";"10.229.20";"10.229.21";"10.229.25";"10.229.26"},J22)))),"SCT SI - OCD",""))))))</f>
        <v/>
      </c>
      <c r="V22" s="18"/>
    </row>
    <row r="23" spans="1:22" ht="15.3" x14ac:dyDescent="0.7">
      <c r="A23" s="18"/>
      <c r="B23" s="45">
        <v>25</v>
      </c>
      <c r="C23" s="169" t="e">
        <f>('3. Contact'!#REF!)</f>
        <v>#REF!</v>
      </c>
      <c r="D23" s="47"/>
      <c r="E23" s="48"/>
      <c r="F23" s="46"/>
      <c r="G23" s="36"/>
      <c r="H23" s="46"/>
      <c r="I23" s="46"/>
      <c r="J23" s="49"/>
      <c r="K23" s="36"/>
      <c r="L23" s="36"/>
      <c r="M23" s="36"/>
      <c r="N23" s="36"/>
      <c r="O23" s="159"/>
      <c r="P23" s="40"/>
      <c r="Q23" s="41" t="s">
        <v>47</v>
      </c>
      <c r="R23" s="42"/>
      <c r="S23" s="50"/>
      <c r="T23" s="44" t="str" cm="1">
        <f t="array" ref="T23">IF(E23="","",IF(OR(ISNUMBER(SEARCH({"10.205.37";"10.205.38";"10.205.69";"10.205.31";"10.205.28";"10.205.27"},E23))),"Platform-Runtime and Azure OPS",
IF(OR(ISNUMBER(SEARCH({"10.229.16";"10.229.17";"10.229.18";"10.229.19";"10.229.20";"10.229.21";"10.229.25";"10.229.26"},E23))),"SDDC",
IF(OR(ISNUMBER(SEARCH({"10.220";"10.221";"10.222";"10.223";"10.224";"10.225";"10.229";"185.130.242"},E23))),"SDDC",
IF(OR(ISNUMBER(SEARCH({"10.226";"10.227";"10.205"},E23))),"Azure OPS and SDDC",
IF(AND(NOT(ISNUMBER(SEARCH({"10.220";"10.221";"10.222";"10.223";"10.224";"10.225";"10.229";"10.226";"10.227";"10.205";"10.205.37";"10.205.38";"10.205.69";"10.205.31";"10.205.28";"10.205.27";"10.229.16";"10.229.17";"10.229.18";"10.229.19";"10.229.20";"10.229.21";"10.229.25";"10.229.26"},E23)))),"SCT SI - OCD",""))))))</f>
        <v/>
      </c>
      <c r="U23" s="50" t="str" cm="1">
        <f t="array" ref="U23">IF(J23="","",IF(OR(ISNUMBER(SEARCH({"10.205.37";"10.205.38";"10.205.69";"10.205.31";"10.205.28";"10.205.27"},J23))),"Platform-Runtime and Azure OPS",
IF(OR(ISNUMBER(SEARCH({"10.229.16";"10.229.17";"10.229.18";"10.229.19";"10.229.20";"10.229.21";"10.229.25";"10.229.26"},J23))),"SDDC",
IF(OR(ISNUMBER(SEARCH({"10.220";"10.221";"10.222";"10.223";"10.224";"10.225";"10.229";"185.130.242"},J23))),"SDDC",
IF(OR(ISNUMBER(SEARCH({"10.226";"10.227";"10.205"},J23))),"Azure OPS and SDDC",
IF(AND(NOT(ISNUMBER(SEARCH({"10.220";"10.221";"10.222";"10.223";"10.224";"10.225";"10.229";"10.226";"10.227";"10.205";"10.205.37";"10.205.38";"10.205.69";"10.205.31";"10.205.28";"10.205.27";"10.229.16";"10.229.17";"10.229.18";"10.229.19";"10.229.20";"10.229.21";"10.229.25";"10.229.26"},J23)))),"SCT SI - OCD",""))))))</f>
        <v/>
      </c>
      <c r="V23" s="126"/>
    </row>
    <row r="24" spans="1:22" ht="15.3" x14ac:dyDescent="0.7">
      <c r="A24" s="18"/>
      <c r="B24" s="45">
        <v>26</v>
      </c>
      <c r="C24" s="169" t="e">
        <f>('3. Contact'!#REF!)</f>
        <v>#REF!</v>
      </c>
      <c r="D24" s="47"/>
      <c r="E24" s="48"/>
      <c r="F24" s="36"/>
      <c r="G24" s="36"/>
      <c r="H24" s="46"/>
      <c r="I24" s="46"/>
      <c r="J24" s="49"/>
      <c r="K24" s="51"/>
      <c r="L24" s="36"/>
      <c r="M24" s="36"/>
      <c r="N24" s="36"/>
      <c r="O24" s="159"/>
      <c r="P24" s="40"/>
      <c r="Q24" s="41" t="s">
        <v>47</v>
      </c>
      <c r="R24" s="42"/>
      <c r="S24" s="50"/>
      <c r="T24" s="44" t="str" cm="1">
        <f t="array" ref="T24">IF(E24="","",IF(OR(ISNUMBER(SEARCH({"10.205.37";"10.205.38";"10.205.69";"10.205.31";"10.205.28";"10.205.27"},E24))),"Platform-Runtime and Azure OPS",
IF(OR(ISNUMBER(SEARCH({"10.229.16";"10.229.17";"10.229.18";"10.229.19";"10.229.20";"10.229.21";"10.229.25";"10.229.26"},E24))),"SDDC",
IF(OR(ISNUMBER(SEARCH({"10.220";"10.221";"10.222";"10.223";"10.224";"10.225";"10.229";"185.130.242"},E24))),"SDDC",
IF(OR(ISNUMBER(SEARCH({"10.226";"10.227";"10.205"},E24))),"Azure OPS and SDDC",
IF(AND(NOT(ISNUMBER(SEARCH({"10.220";"10.221";"10.222";"10.223";"10.224";"10.225";"10.229";"10.226";"10.227";"10.205";"10.205.37";"10.205.38";"10.205.69";"10.205.31";"10.205.28";"10.205.27";"10.229.16";"10.229.17";"10.229.18";"10.229.19";"10.229.20";"10.229.21";"10.229.25";"10.229.26"},E24)))),"SCT SI - OCD",""))))))</f>
        <v/>
      </c>
      <c r="U24" s="50" t="str" cm="1">
        <f t="array" ref="U24">IF(J24="","",IF(OR(ISNUMBER(SEARCH({"10.205.37";"10.205.38";"10.205.69";"10.205.31";"10.205.28";"10.205.27"},J24))),"Platform-Runtime and Azure OPS",
IF(OR(ISNUMBER(SEARCH({"10.229.16";"10.229.17";"10.229.18";"10.229.19";"10.229.20";"10.229.21";"10.229.25";"10.229.26"},J24))),"SDDC",
IF(OR(ISNUMBER(SEARCH({"10.220";"10.221";"10.222";"10.223";"10.224";"10.225";"10.229";"185.130.242"},J24))),"SDDC",
IF(OR(ISNUMBER(SEARCH({"10.226";"10.227";"10.205"},J24))),"Azure OPS and SDDC",
IF(AND(NOT(ISNUMBER(SEARCH({"10.220";"10.221";"10.222";"10.223";"10.224";"10.225";"10.229";"10.226";"10.227";"10.205";"10.205.37";"10.205.38";"10.205.69";"10.205.31";"10.205.28";"10.205.27";"10.229.16";"10.229.17";"10.229.18";"10.229.19";"10.229.20";"10.229.21";"10.229.25";"10.229.26"},J24)))),"SCT SI - OCD",""))))))</f>
        <v/>
      </c>
      <c r="V24" s="126"/>
    </row>
    <row r="25" spans="1:22" ht="15.3" x14ac:dyDescent="0.7">
      <c r="A25" s="18"/>
      <c r="B25" s="45">
        <v>27</v>
      </c>
      <c r="C25" s="169" t="e">
        <f>('3. Contact'!#REF!)</f>
        <v>#REF!</v>
      </c>
      <c r="D25" s="47"/>
      <c r="E25" s="48"/>
      <c r="F25" s="46"/>
      <c r="G25" s="36"/>
      <c r="H25" s="46"/>
      <c r="I25" s="46"/>
      <c r="J25" s="49"/>
      <c r="K25" s="36"/>
      <c r="L25" s="36"/>
      <c r="M25" s="36"/>
      <c r="N25" s="36"/>
      <c r="O25" s="159"/>
      <c r="P25" s="40"/>
      <c r="Q25" s="41" t="s">
        <v>47</v>
      </c>
      <c r="R25" s="42"/>
      <c r="S25" s="50"/>
      <c r="T25" s="44" t="str" cm="1">
        <f t="array" ref="T25">IF(E25="","",IF(OR(ISNUMBER(SEARCH({"10.205.37";"10.205.38";"10.205.69";"10.205.31";"10.205.28";"10.205.27"},E25))),"Platform-Runtime and Azure OPS",
IF(OR(ISNUMBER(SEARCH({"10.229.16";"10.229.17";"10.229.18";"10.229.19";"10.229.20";"10.229.21";"10.229.25";"10.229.26"},E25))),"SDDC",
IF(OR(ISNUMBER(SEARCH({"10.220";"10.221";"10.222";"10.223";"10.224";"10.225";"10.229";"185.130.242"},E25))),"SDDC",
IF(OR(ISNUMBER(SEARCH({"10.226";"10.227";"10.205"},E25))),"Azure OPS and SDDC",
IF(AND(NOT(ISNUMBER(SEARCH({"10.220";"10.221";"10.222";"10.223";"10.224";"10.225";"10.229";"10.226";"10.227";"10.205";"10.205.37";"10.205.38";"10.205.69";"10.205.31";"10.205.28";"10.205.27";"10.229.16";"10.229.17";"10.229.18";"10.229.19";"10.229.20";"10.229.21";"10.229.25";"10.229.26"},E25)))),"SCT SI - OCD",""))))))</f>
        <v/>
      </c>
      <c r="U25" s="134" t="str" cm="1">
        <f t="array" ref="U25">IF(J25="","",IF(OR(ISNUMBER(SEARCH({"10.205.37";"10.205.38";"10.205.69";"10.205.31";"10.205.28";"10.205.27"},J25))),"Platform-Runtime and Azure OPS",
IF(OR(ISNUMBER(SEARCH({"10.229.16";"10.229.17";"10.229.18";"10.229.19";"10.229.20";"10.229.21";"10.229.25";"10.229.26"},J25))),"SDDC",
IF(OR(ISNUMBER(SEARCH({"10.220";"10.221";"10.222";"10.223";"10.224";"10.225";"10.229";"185.130.242"},J25))),"SDDC",
IF(OR(ISNUMBER(SEARCH({"10.226";"10.227";"10.205"},J25))),"Azure OPS and SDDC",
IF(AND(NOT(ISNUMBER(SEARCH({"10.220";"10.221";"10.222";"10.223";"10.224";"10.225";"10.229";"10.226";"10.227";"10.205";"10.205.37";"10.205.38";"10.205.69";"10.205.31";"10.205.28";"10.205.27";"10.229.16";"10.229.17";"10.229.18";"10.229.19";"10.229.20";"10.229.21";"10.229.25";"10.229.26"},J25)))),"SCT SI - OCD",""))))))</f>
        <v/>
      </c>
      <c r="V25" s="18"/>
    </row>
    <row r="26" spans="1:22" ht="15.3" x14ac:dyDescent="0.7">
      <c r="A26" s="18"/>
      <c r="B26" s="45">
        <v>28</v>
      </c>
      <c r="C26" s="169" t="e">
        <f>('3. Contact'!#REF!)</f>
        <v>#REF!</v>
      </c>
      <c r="D26" s="47"/>
      <c r="E26" s="48"/>
      <c r="F26" s="46"/>
      <c r="G26" s="36"/>
      <c r="H26" s="46"/>
      <c r="I26" s="46"/>
      <c r="J26" s="49"/>
      <c r="K26" s="36"/>
      <c r="L26" s="36"/>
      <c r="M26" s="36"/>
      <c r="N26" s="36"/>
      <c r="O26" s="159"/>
      <c r="P26" s="40"/>
      <c r="Q26" s="41" t="s">
        <v>47</v>
      </c>
      <c r="R26" s="42"/>
      <c r="S26" s="50"/>
      <c r="T26" s="44" t="str" cm="1">
        <f t="array" ref="T26">IF(E26="","",IF(OR(ISNUMBER(SEARCH({"10.205.37";"10.205.38";"10.205.69";"10.205.31";"10.205.28";"10.205.27"},E26))),"Platform-Runtime and Azure OPS",
IF(OR(ISNUMBER(SEARCH({"10.229.16";"10.229.17";"10.229.18";"10.229.19";"10.229.20";"10.229.21";"10.229.25";"10.229.26"},E26))),"SDDC",
IF(OR(ISNUMBER(SEARCH({"10.220";"10.221";"10.222";"10.223";"10.224";"10.225";"10.229";"185.130.242"},E26))),"SDDC",
IF(OR(ISNUMBER(SEARCH({"10.226";"10.227";"10.205"},E26))),"Azure OPS and SDDC",
IF(AND(NOT(ISNUMBER(SEARCH({"10.220";"10.221";"10.222";"10.223";"10.224";"10.225";"10.229";"10.226";"10.227";"10.205";"10.205.37";"10.205.38";"10.205.69";"10.205.31";"10.205.28";"10.205.27";"10.229.16";"10.229.17";"10.229.18";"10.229.19";"10.229.20";"10.229.21";"10.229.25";"10.229.26"},E26)))),"SCT SI - OCD",""))))))</f>
        <v/>
      </c>
      <c r="U26" s="50" t="str" cm="1">
        <f t="array" ref="U26">IF(J26="","",IF(OR(ISNUMBER(SEARCH({"10.205.37";"10.205.38";"10.205.69";"10.205.31";"10.205.28";"10.205.27"},J26))),"Platform-Runtime and Azure OPS",
IF(OR(ISNUMBER(SEARCH({"10.229.16";"10.229.17";"10.229.18";"10.229.19";"10.229.20";"10.229.21";"10.229.25";"10.229.26"},J26))),"SDDC",
IF(OR(ISNUMBER(SEARCH({"10.220";"10.221";"10.222";"10.223";"10.224";"10.225";"10.229";"185.130.242"},J26))),"SDDC",
IF(OR(ISNUMBER(SEARCH({"10.226";"10.227";"10.205"},J26))),"Azure OPS and SDDC",
IF(AND(NOT(ISNUMBER(SEARCH({"10.220";"10.221";"10.222";"10.223";"10.224";"10.225";"10.229";"10.226";"10.227";"10.205";"10.205.37";"10.205.38";"10.205.69";"10.205.31";"10.205.28";"10.205.27";"10.229.16";"10.229.17";"10.229.18";"10.229.19";"10.229.20";"10.229.21";"10.229.25";"10.229.26"},J26)))),"SCT SI - OCD",""))))))</f>
        <v/>
      </c>
      <c r="V26" s="126"/>
    </row>
    <row r="27" spans="1:22" ht="15.3" x14ac:dyDescent="0.7">
      <c r="A27" s="18"/>
      <c r="B27" s="45">
        <v>29</v>
      </c>
      <c r="C27" s="169" t="e">
        <f>('3. Contact'!#REF!)</f>
        <v>#REF!</v>
      </c>
      <c r="D27" s="47"/>
      <c r="E27" s="48"/>
      <c r="F27" s="46"/>
      <c r="G27" s="36"/>
      <c r="H27" s="46"/>
      <c r="I27" s="46"/>
      <c r="J27" s="49"/>
      <c r="K27" s="36"/>
      <c r="L27" s="36"/>
      <c r="M27" s="36"/>
      <c r="N27" s="36"/>
      <c r="O27" s="159"/>
      <c r="P27" s="40"/>
      <c r="Q27" s="41" t="s">
        <v>47</v>
      </c>
      <c r="R27" s="42"/>
      <c r="S27" s="50"/>
      <c r="T27" s="44" t="str" cm="1">
        <f t="array" ref="T27">IF(E27="","",IF(OR(ISNUMBER(SEARCH({"10.205.37";"10.205.38";"10.205.69";"10.205.31";"10.205.28";"10.205.27"},E27))),"Platform-Runtime and Azure OPS",
IF(OR(ISNUMBER(SEARCH({"10.229.16";"10.229.17";"10.229.18";"10.229.19";"10.229.20";"10.229.21";"10.229.25";"10.229.26"},E27))),"SDDC",
IF(OR(ISNUMBER(SEARCH({"10.220";"10.221";"10.222";"10.223";"10.224";"10.225";"10.229";"185.130.242"},E27))),"SDDC",
IF(OR(ISNUMBER(SEARCH({"10.226";"10.227";"10.205"},E27))),"Azure OPS and SDDC",
IF(AND(NOT(ISNUMBER(SEARCH({"10.220";"10.221";"10.222";"10.223";"10.224";"10.225";"10.229";"10.226";"10.227";"10.205";"10.205.37";"10.205.38";"10.205.69";"10.205.31";"10.205.28";"10.205.27";"10.229.16";"10.229.17";"10.229.18";"10.229.19";"10.229.20";"10.229.21";"10.229.25";"10.229.26"},E27)))),"SCT SI - OCD",""))))))</f>
        <v/>
      </c>
      <c r="U27" s="134" t="str" cm="1">
        <f t="array" ref="U27">IF(J27="","",IF(OR(ISNUMBER(SEARCH({"10.205.37";"10.205.38";"10.205.69";"10.205.31";"10.205.28";"10.205.27"},J27))),"Platform-Runtime and Azure OPS",
IF(OR(ISNUMBER(SEARCH({"10.229.16";"10.229.17";"10.229.18";"10.229.19";"10.229.20";"10.229.21";"10.229.25";"10.229.26"},J27))),"SDDC",
IF(OR(ISNUMBER(SEARCH({"10.220";"10.221";"10.222";"10.223";"10.224";"10.225";"10.229";"185.130.242"},J27))),"SDDC",
IF(OR(ISNUMBER(SEARCH({"10.226";"10.227";"10.205"},J27))),"Azure OPS and SDDC",
IF(AND(NOT(ISNUMBER(SEARCH({"10.220";"10.221";"10.222";"10.223";"10.224";"10.225";"10.229";"10.226";"10.227";"10.205";"10.205.37";"10.205.38";"10.205.69";"10.205.31";"10.205.28";"10.205.27";"10.229.16";"10.229.17";"10.229.18";"10.229.19";"10.229.20";"10.229.21";"10.229.25";"10.229.26"},J27)))),"SCT SI - OCD",""))))))</f>
        <v/>
      </c>
      <c r="V27" s="18"/>
    </row>
    <row r="28" spans="1:22" ht="15.6" thickBot="1" x14ac:dyDescent="0.75">
      <c r="A28" s="18"/>
      <c r="B28" s="52">
        <v>30</v>
      </c>
      <c r="C28" s="160" t="e">
        <f>('3. Contact'!#REF!)</f>
        <v>#REF!</v>
      </c>
      <c r="D28" s="54"/>
      <c r="E28" s="55"/>
      <c r="F28" s="53"/>
      <c r="G28" s="56"/>
      <c r="H28" s="53"/>
      <c r="I28" s="53"/>
      <c r="J28" s="55"/>
      <c r="K28" s="56"/>
      <c r="L28" s="56"/>
      <c r="M28" s="53"/>
      <c r="N28" s="53"/>
      <c r="O28" s="160"/>
      <c r="P28" s="53"/>
      <c r="Q28" s="57" t="s">
        <v>47</v>
      </c>
      <c r="R28" s="42"/>
      <c r="S28" s="50"/>
      <c r="T28" s="133" t="str" cm="1">
        <f t="array" ref="T28">IF(E28="","",IF(OR(ISNUMBER(SEARCH({"10.205.37";"10.205.38";"10.205.69";"10.205.31";"10.205.28";"10.205.27"},E28))),"Platform-Runtime and Azure OPS",
IF(OR(ISNUMBER(SEARCH({"10.229.16";"10.229.17";"10.229.18";"10.229.19";"10.229.20";"10.229.21";"10.229.25";"10.229.26"},E28))),"SDDC",
IF(OR(ISNUMBER(SEARCH({"10.220";"10.221";"10.222";"10.223";"10.224";"10.225";"10.229";"185.130.242"},E28))),"SDDC",
IF(OR(ISNUMBER(SEARCH({"10.226";"10.227";"10.205"},E28))),"Azure OPS and SDDC",
IF(AND(NOT(ISNUMBER(SEARCH({"10.220";"10.221";"10.222";"10.223";"10.224";"10.225";"10.229";"10.226";"10.227";"10.205";"10.205.37";"10.205.38";"10.205.69";"10.205.31";"10.205.28";"10.205.27";"10.229.16";"10.229.17";"10.229.18";"10.229.19";"10.229.20";"10.229.21";"10.229.25";"10.229.26"},E28)))),"SCT SI - OCD",""))))))</f>
        <v/>
      </c>
      <c r="U28" s="158" t="str" cm="1">
        <f t="array" ref="U28">IF(J28="","",IF(OR(ISNUMBER(SEARCH({"10.205.37";"10.205.38";"10.205.69";"10.205.31";"10.205.28";"10.205.27"},J28))),"Platform-Runtime and Azure OPS",
IF(OR(ISNUMBER(SEARCH({"10.229.16";"10.229.17";"10.229.18";"10.229.19";"10.229.20";"10.229.21";"10.229.25";"10.229.26"},J28))),"SDDC",
IF(OR(ISNUMBER(SEARCH({"10.220";"10.221";"10.222";"10.223";"10.224";"10.225";"10.229";"185.130.242"},J28))),"SDDC",
IF(OR(ISNUMBER(SEARCH({"10.226";"10.227";"10.205"},J28))),"Azure OPS and SDDC",
IF(AND(NOT(ISNUMBER(SEARCH({"10.220";"10.221";"10.222";"10.223";"10.224";"10.225";"10.229";"10.226";"10.227";"10.205";"10.205.37";"10.205.38";"10.205.69";"10.205.31";"10.205.28";"10.205.27";"10.229.16";"10.229.17";"10.229.18";"10.229.19";"10.229.20";"10.229.21";"10.229.25";"10.229.26"},J28)))),"SCT SI - OCD",""))))))</f>
        <v/>
      </c>
      <c r="V28" s="126"/>
    </row>
    <row r="29" spans="1:22" ht="15.3" x14ac:dyDescent="0.7">
      <c r="A29" s="18"/>
      <c r="B29" s="18"/>
      <c r="C29" s="18"/>
      <c r="D29" s="18"/>
      <c r="E29" s="18"/>
      <c r="F29" s="18"/>
      <c r="G29" s="18"/>
      <c r="H29" s="18"/>
      <c r="I29" s="18"/>
      <c r="J29" s="18"/>
      <c r="K29" s="18"/>
      <c r="L29" s="18"/>
      <c r="M29" s="18"/>
      <c r="N29" s="18"/>
      <c r="O29" s="18"/>
      <c r="P29" s="18"/>
      <c r="Q29" s="18"/>
      <c r="R29" s="18"/>
      <c r="S29" s="18"/>
      <c r="T29" s="18"/>
      <c r="U29" s="18"/>
      <c r="V29" s="18"/>
    </row>
    <row r="30" spans="1:22" ht="15.6" thickBot="1" x14ac:dyDescent="0.75">
      <c r="A30" s="18"/>
      <c r="B30" s="18"/>
      <c r="C30" s="18"/>
      <c r="D30" s="18"/>
      <c r="E30" s="18"/>
      <c r="F30" s="18"/>
      <c r="G30" s="18"/>
      <c r="H30" s="18"/>
      <c r="I30" s="18"/>
      <c r="J30" s="18"/>
      <c r="K30" s="18"/>
      <c r="L30" s="18"/>
      <c r="M30" s="18"/>
      <c r="N30" s="18"/>
      <c r="O30" s="18"/>
      <c r="P30" s="18"/>
      <c r="Q30" s="18"/>
      <c r="R30" s="18"/>
      <c r="S30" s="18"/>
      <c r="T30" s="18"/>
      <c r="U30" s="18"/>
      <c r="V30" s="18"/>
    </row>
    <row r="31" spans="1:22" ht="16.5" x14ac:dyDescent="0.7">
      <c r="A31" s="18"/>
      <c r="B31" s="155" t="s">
        <v>114</v>
      </c>
      <c r="C31" s="156"/>
      <c r="D31" s="156"/>
      <c r="E31" s="156"/>
      <c r="F31" s="156"/>
      <c r="G31" s="59"/>
      <c r="H31" s="59"/>
      <c r="I31" s="59"/>
      <c r="J31" s="60"/>
      <c r="K31" s="60"/>
      <c r="L31" s="60"/>
      <c r="M31" s="126"/>
      <c r="N31" s="18"/>
      <c r="O31" s="18"/>
      <c r="P31" s="18"/>
      <c r="Q31" s="18"/>
      <c r="R31" s="18"/>
      <c r="S31" s="18"/>
      <c r="T31" s="18"/>
      <c r="U31" s="18"/>
      <c r="V31" s="18"/>
    </row>
    <row r="32" spans="1:22" ht="15" customHeight="1" x14ac:dyDescent="0.7">
      <c r="A32" s="18"/>
      <c r="B32" s="202"/>
      <c r="C32" s="203"/>
      <c r="D32" s="203"/>
      <c r="E32" s="203"/>
      <c r="F32" s="203"/>
      <c r="G32" s="61"/>
      <c r="H32" s="61"/>
      <c r="I32" s="61"/>
      <c r="J32" s="61"/>
      <c r="K32" s="61"/>
      <c r="L32" s="62"/>
      <c r="M32" s="18"/>
      <c r="N32" s="18"/>
      <c r="O32" s="18"/>
      <c r="P32" s="18"/>
      <c r="Q32" s="18"/>
      <c r="R32" s="18"/>
      <c r="S32" s="18"/>
      <c r="T32" s="18"/>
      <c r="U32" s="18"/>
      <c r="V32" s="18"/>
    </row>
    <row r="33" spans="1:22" ht="16.5" x14ac:dyDescent="0.75">
      <c r="A33" s="18"/>
      <c r="B33" s="202"/>
      <c r="C33" s="203"/>
      <c r="D33" s="203"/>
      <c r="E33" s="203"/>
      <c r="F33" s="203"/>
      <c r="G33" s="61"/>
      <c r="H33" s="61"/>
      <c r="I33" s="61"/>
      <c r="J33" s="61"/>
      <c r="K33" s="61"/>
      <c r="L33" s="62"/>
      <c r="M33" s="18"/>
      <c r="N33" s="18"/>
      <c r="O33" s="18"/>
      <c r="P33" s="18"/>
      <c r="Q33" s="18"/>
      <c r="R33" s="63"/>
      <c r="S33" s="18"/>
      <c r="T33" s="18"/>
      <c r="U33" s="18"/>
      <c r="V33" s="18"/>
    </row>
    <row r="34" spans="1:22" ht="16.8" thickBot="1" x14ac:dyDescent="0.8">
      <c r="A34" s="18"/>
      <c r="B34" s="212"/>
      <c r="C34" s="213"/>
      <c r="D34" s="213"/>
      <c r="E34" s="213"/>
      <c r="F34" s="213"/>
      <c r="G34" s="61"/>
      <c r="H34" s="61"/>
      <c r="I34" s="61"/>
      <c r="J34" s="61"/>
      <c r="K34" s="61"/>
      <c r="L34" s="62"/>
      <c r="M34" s="18"/>
      <c r="N34" s="18"/>
      <c r="O34" s="18"/>
      <c r="P34" s="18"/>
      <c r="Q34" s="18"/>
      <c r="R34" s="63"/>
      <c r="S34" s="18"/>
      <c r="T34" s="18"/>
      <c r="U34" s="18"/>
      <c r="V34" s="18"/>
    </row>
    <row r="35" spans="1:22" ht="16.5" x14ac:dyDescent="0.75">
      <c r="A35" s="18"/>
      <c r="B35" s="106" t="s">
        <v>115</v>
      </c>
      <c r="C35" s="107"/>
      <c r="D35" s="107"/>
      <c r="E35" s="107"/>
      <c r="F35" s="107"/>
      <c r="G35" s="61"/>
      <c r="H35" s="61"/>
      <c r="I35" s="61"/>
      <c r="J35" s="61"/>
      <c r="K35" s="61"/>
      <c r="L35" s="62"/>
      <c r="M35" s="18"/>
      <c r="N35" s="18"/>
      <c r="O35" s="18"/>
      <c r="P35" s="18"/>
      <c r="Q35" s="18"/>
      <c r="R35" s="63"/>
      <c r="S35" s="18"/>
      <c r="T35" s="18"/>
      <c r="U35" s="18"/>
      <c r="V35" s="18"/>
    </row>
    <row r="36" spans="1:22" ht="16.5" x14ac:dyDescent="0.75">
      <c r="A36" s="18"/>
      <c r="B36" s="200"/>
      <c r="C36" s="201"/>
      <c r="D36" s="201"/>
      <c r="E36" s="201"/>
      <c r="F36" s="201"/>
      <c r="G36" s="61"/>
      <c r="H36" s="61"/>
      <c r="I36" s="61"/>
      <c r="J36" s="61"/>
      <c r="K36" s="61"/>
      <c r="L36" s="62"/>
      <c r="M36" s="18"/>
      <c r="N36" s="18"/>
      <c r="O36" s="18"/>
      <c r="P36" s="18"/>
      <c r="Q36" s="18"/>
      <c r="R36" s="63"/>
      <c r="S36" s="18"/>
      <c r="T36" s="18"/>
      <c r="U36" s="18"/>
      <c r="V36" s="18"/>
    </row>
    <row r="37" spans="1:22" ht="15.3" x14ac:dyDescent="0.7">
      <c r="A37" s="18"/>
      <c r="B37" s="200"/>
      <c r="C37" s="201"/>
      <c r="D37" s="201"/>
      <c r="E37" s="201"/>
      <c r="F37" s="201"/>
      <c r="G37" s="61"/>
      <c r="H37" s="61"/>
      <c r="I37" s="61"/>
      <c r="J37" s="61"/>
      <c r="K37" s="61"/>
      <c r="L37" s="62"/>
      <c r="M37" s="18"/>
      <c r="N37" s="18"/>
      <c r="O37" s="18"/>
      <c r="P37" s="18"/>
      <c r="Q37" s="18"/>
      <c r="R37" s="18"/>
      <c r="S37" s="18"/>
      <c r="T37" s="18"/>
      <c r="U37" s="18"/>
      <c r="V37" s="18"/>
    </row>
    <row r="38" spans="1:22" ht="15.3" x14ac:dyDescent="0.7">
      <c r="A38" s="18"/>
      <c r="B38" s="64" t="s">
        <v>117</v>
      </c>
      <c r="C38" s="61"/>
      <c r="D38" s="61"/>
      <c r="E38" s="61"/>
      <c r="F38" s="61"/>
      <c r="G38" s="61"/>
      <c r="H38" s="61"/>
      <c r="I38" s="61"/>
      <c r="J38" s="61"/>
      <c r="K38" s="61"/>
      <c r="L38" s="62"/>
      <c r="M38" s="18"/>
      <c r="N38" s="18"/>
      <c r="O38" s="18"/>
      <c r="P38" s="18"/>
      <c r="Q38" s="18"/>
      <c r="R38" s="18"/>
      <c r="S38" s="18"/>
      <c r="T38" s="18"/>
      <c r="U38" s="18"/>
      <c r="V38" s="18"/>
    </row>
    <row r="39" spans="1:22" ht="15.6" thickBot="1" x14ac:dyDescent="0.75">
      <c r="A39" s="18"/>
      <c r="B39" s="65"/>
      <c r="C39" s="66"/>
      <c r="D39" s="66"/>
      <c r="E39" s="66"/>
      <c r="F39" s="66"/>
      <c r="G39" s="66"/>
      <c r="H39" s="66"/>
      <c r="I39" s="66"/>
      <c r="J39" s="66"/>
      <c r="K39" s="66"/>
      <c r="L39" s="67"/>
      <c r="M39" s="18"/>
      <c r="N39" s="18"/>
      <c r="O39" s="18"/>
      <c r="P39" s="18"/>
      <c r="Q39" s="18"/>
      <c r="R39" s="18"/>
      <c r="S39" s="18"/>
      <c r="T39" s="18"/>
      <c r="U39" s="18"/>
      <c r="V39" s="18"/>
    </row>
    <row r="40" spans="1:22" ht="15.3" x14ac:dyDescent="0.7">
      <c r="A40" s="18"/>
      <c r="B40" s="18"/>
      <c r="C40" s="18"/>
      <c r="D40" s="18"/>
      <c r="E40" s="18"/>
      <c r="F40" s="18"/>
      <c r="G40" s="18"/>
      <c r="H40" s="18"/>
      <c r="I40" s="18"/>
      <c r="J40" s="18"/>
      <c r="K40" s="18"/>
      <c r="L40" s="18"/>
      <c r="M40" s="18"/>
      <c r="N40" s="18"/>
      <c r="O40" s="18"/>
      <c r="P40" s="18"/>
      <c r="Q40" s="18"/>
      <c r="R40" s="18"/>
      <c r="S40" s="18"/>
      <c r="T40" s="18"/>
      <c r="U40" s="18"/>
      <c r="V40" s="18"/>
    </row>
  </sheetData>
  <sheetProtection algorithmName="SHA-512" hashValue="4VYqe3kpWnN0X0+ZBhBgFIoJQ1jUshd6mDjeZ2Yin4VI6JejzgVACFeTEIAKzPXw69IIG9yBLR7ABDI9b6kKIg==" saltValue="xc8gskEZHC2lvyGJKSDtJQ==" spinCount="100000" sheet="1" objects="1" scenarios="1"/>
  <mergeCells count="6">
    <mergeCell ref="T11:U11"/>
    <mergeCell ref="B36:F37"/>
    <mergeCell ref="B32:F34"/>
    <mergeCell ref="I2:I7"/>
    <mergeCell ref="E11:I11"/>
    <mergeCell ref="J11:L11"/>
  </mergeCells>
  <conditionalFormatting sqref="A13:D13">
    <cfRule type="expression" dxfId="12" priority="1" stopIfTrue="1">
      <formula>AND(ISNUMBER(VALUE(LEFT(A13, FIND(".", A13)-1))),  ISNUMBER(VALUE(MID(A13, FIND(".", A13)+1, FIND(".", A13, FIND(".", A13)+1)-FIND(".", A13)-1))),  ISNUMBER(VALUE(MID(A13, FIND(".", A13, FIND(".", A13)+1)+1, FIND(".", A13, FIND(".", A13, FIND(".", A13)+1)+1)-FIND(".", A13, FIND(".", A13)+1)-1))),  ISNUMBER(VALUE(RIGHT(A13, LEN(A13)-FIND(".", A13, FIND(".", A13, FIND(".", A13)+1)+1)))),  VALUE(LEFT(A13, FIND(".", A13)-1))&lt;=255,  VALUE(MID(A13, FIND(".", A13)+1, FIND(".", A13, FIND(".", A13)+1)-FIND(".", A13)-1))&lt;=255,  VALUE(MID(A13, FIND(".", A13, FIND(".", A13)+1)+1, FIND(".", A13, FIND(".", A13, FIND(".", A13)+1)+1)-FIND(".", A13, FIND(".", A13)+1)-1))&lt;=255,  VALUE(RIGHT(A13, LEN(A13)-FIND(".", A13, FIND(".", A13, FIND(".", A13)+1)+1)))&lt;=255)</formula>
    </cfRule>
  </conditionalFormatting>
  <conditionalFormatting sqref="A8:XFD10">
    <cfRule type="expression" dxfId="11" priority="13" stopIfTrue="1">
      <formula>AND(ISNUMBER(VALUE(LEFT(A8, FIND(".", A8)-1))),  ISNUMBER(VALUE(MID(A8, FIND(".", A8)+1, FIND(".", A8, FIND(".", A8)+1)-FIND(".", A8)-1))),  ISNUMBER(VALUE(MID(A8, FIND(".", A8, FIND(".", A8)+1)+1, FIND(".", A8, FIND(".", A8, FIND(".", A8)+1)+1)-FIND(".", A8, FIND(".", A8)+1)-1))),  ISNUMBER(VALUE(RIGHT(A8, LEN(A8)-FIND(".", A8, FIND(".", A8, FIND(".", A8)+1)+1)))),  VALUE(LEFT(A8, FIND(".", A8)-1))&lt;=255,  VALUE(MID(A8, FIND(".", A8)+1, FIND(".", A8, FIND(".", A8)+1)-FIND(".", A8)-1))&lt;=255,  VALUE(MID(A8, FIND(".", A8, FIND(".", A8)+1)+1, FIND(".", A8, FIND(".", A8, FIND(".", A8)+1)+1)-FIND(".", A8, FIND(".", A8)+1)-1))&lt;=255,  VALUE(RIGHT(A8, LEN(A8)-FIND(".", A8, FIND(".", A8, FIND(".", A8)+1)+1)))&lt;=255)</formula>
    </cfRule>
  </conditionalFormatting>
  <conditionalFormatting sqref="A12:XFD12">
    <cfRule type="expression" dxfId="10" priority="2" stopIfTrue="1">
      <formula>AND(ISNUMBER(VALUE(LEFT(A12, FIND(".", A12)-1))),  ISNUMBER(VALUE(MID(A12, FIND(".", A12)+1, FIND(".", A12, FIND(".", A12)+1)-FIND(".", A12)-1))),  ISNUMBER(VALUE(MID(A12, FIND(".", A12, FIND(".", A12)+1)+1, FIND(".", A12, FIND(".", A12, FIND(".", A12)+1)+1)-FIND(".", A12, FIND(".", A12)+1)-1))),  ISNUMBER(VALUE(RIGHT(A12, LEN(A12)-FIND(".", A12, FIND(".", A12, FIND(".", A12)+1)+1)))),  VALUE(LEFT(A12, FIND(".", A12)-1))&lt;=255,  VALUE(MID(A12, FIND(".", A12)+1, FIND(".", A12, FIND(".", A12)+1)-FIND(".", A12)-1))&lt;=255,  VALUE(MID(A12, FIND(".", A12, FIND(".", A12)+1)+1, FIND(".", A12, FIND(".", A12, FIND(".", A12)+1)+1)-FIND(".", A12, FIND(".", A12)+1)-1))&lt;=255,  VALUE(RIGHT(A12, LEN(A12)-FIND(".", A12, FIND(".", A12, FIND(".", A12)+1)+1)))&lt;=255)</formula>
    </cfRule>
  </conditionalFormatting>
  <conditionalFormatting sqref="B36">
    <cfRule type="expression" dxfId="9" priority="10" stopIfTrue="1">
      <formula>AND(ISNUMBER(VALUE(LEFT(B36, FIND(".", B36)-1))),  ISNUMBER(VALUE(MID(B36, FIND(".", B36)+1, FIND(".", B36, FIND(".", B36)+1)-FIND(".", B36)-1))),  ISNUMBER(VALUE(MID(B36, FIND(".", B36, FIND(".", B36)+1)+1, FIND(".", B36, FIND(".", B36, FIND(".", B36)+1)+1)-FIND(".", B36, FIND(".", B36)+1)-1))),  ISNUMBER(VALUE(RIGHT(B36, LEN(B36)-FIND(".", B36, FIND(".", B36, FIND(".", B36)+1)+1)))),  VALUE(LEFT(B36, FIND(".", B36)-1))&lt;=255,  VALUE(MID(B36, FIND(".", B36)+1, FIND(".", B36, FIND(".", B36)+1)-FIND(".", B36)-1))&lt;=255,  VALUE(MID(B36, FIND(".", B36, FIND(".", B36)+1)+1, FIND(".", B36, FIND(".", B36, FIND(".", B36)+1)+1)-FIND(".", B36, FIND(".", B36)+1)-1))&lt;=255,  VALUE(RIGHT(B36, LEN(B36)-FIND(".", B36, FIND(".", B36, FIND(".", B36)+1)+1)))&lt;=255)</formula>
    </cfRule>
  </conditionalFormatting>
  <conditionalFormatting sqref="B35:F35">
    <cfRule type="expression" dxfId="8" priority="11" stopIfTrue="1">
      <formula>AND(ISNUMBER(VALUE(LEFT(B35, FIND(".", B35)-1))),  ISNUMBER(VALUE(MID(B35, FIND(".", B35)+1, FIND(".", B35, FIND(".", B35)+1)-FIND(".", B35)-1))),  ISNUMBER(VALUE(MID(B35, FIND(".", B35, FIND(".", B35)+1)+1, FIND(".", B35, FIND(".", B35, FIND(".", B35)+1)+1)-FIND(".", B35, FIND(".", B35)+1)-1))),  ISNUMBER(VALUE(RIGHT(B35, LEN(B35)-FIND(".", B35, FIND(".", B35, FIND(".", B35)+1)+1)))),  VALUE(LEFT(B35, FIND(".", B35)-1))&lt;=255,  VALUE(MID(B35, FIND(".", B35)+1, FIND(".", B35, FIND(".", B35)+1)-FIND(".", B35)-1))&lt;=255,  VALUE(MID(B35, FIND(".", B35, FIND(".", B35)+1)+1, FIND(".", B35, FIND(".", B35, FIND(".", B35)+1)+1)-FIND(".", B35, FIND(".", B35)+1)-1))&lt;=255,  VALUE(RIGHT(B35, LEN(B35)-FIND(".", B35, FIND(".", B35, FIND(".", B35)+1)+1)))&lt;=255)</formula>
    </cfRule>
  </conditionalFormatting>
  <conditionalFormatting sqref="E13:E28">
    <cfRule type="expression" dxfId="7" priority="32">
      <formula>LEN(E13)&gt;0</formula>
    </cfRule>
  </conditionalFormatting>
  <conditionalFormatting sqref="E13:XFD13 A14:XFD30 A1:XFD1 B2:XFD7 B11:E11 J11 M11:T11 V11:XFD11 A31 G31:XFD31 B32 M32:XFD39 A40:XFD1048576">
    <cfRule type="expression" dxfId="6" priority="25" stopIfTrue="1">
      <formula>AND(ISNUMBER(VALUE(LEFT(A1, FIND(".", A1)-1))),  ISNUMBER(VALUE(MID(A1, FIND(".", A1)+1, FIND(".", A1, FIND(".", A1)+1)-FIND(".", A1)-1))),  ISNUMBER(VALUE(MID(A1, FIND(".", A1, FIND(".", A1)+1)+1, FIND(".", A1, FIND(".", A1, FIND(".", A1)+1)+1)-FIND(".", A1, FIND(".", A1)+1)-1))),  ISNUMBER(VALUE(RIGHT(A1, LEN(A1)-FIND(".", A1, FIND(".", A1, FIND(".", A1)+1)+1)))),  VALUE(LEFT(A1, FIND(".", A1)-1))&lt;=255,  VALUE(MID(A1, FIND(".", A1)+1, FIND(".", A1, FIND(".", A1)+1)-FIND(".", A1)-1))&lt;=255,  VALUE(MID(A1, FIND(".", A1, FIND(".", A1)+1)+1, FIND(".", A1, FIND(".", A1, FIND(".", A1)+1)+1)-FIND(".", A1, FIND(".", A1)+1)-1))&lt;=255,  VALUE(RIGHT(A1, LEN(A1)-FIND(".", A1, FIND(".", A1, FIND(".", A1)+1)+1)))&lt;=255)</formula>
    </cfRule>
  </conditionalFormatting>
  <conditionalFormatting sqref="J13:J28">
    <cfRule type="expression" dxfId="5" priority="26">
      <formula>LEN(J13)&gt;0</formula>
    </cfRule>
  </conditionalFormatting>
  <conditionalFormatting sqref="T13:U28">
    <cfRule type="cellIs" dxfId="4" priority="19" operator="equal">
      <formula>"Platform-Runtime and Azure OPS"</formula>
    </cfRule>
    <cfRule type="cellIs" dxfId="3" priority="20" operator="equal">
      <formula>"SDDC"</formula>
    </cfRule>
    <cfRule type="cellIs" dxfId="2" priority="21" operator="equal">
      <formula>"Azure OPS"</formula>
    </cfRule>
    <cfRule type="cellIs" dxfId="1" priority="22" operator="equal">
      <formula>"Azure OPS and SDDC"</formula>
    </cfRule>
    <cfRule type="cellIs" dxfId="0" priority="23" operator="equal">
      <formula>"SCT SI - OCD"</formula>
    </cfRule>
  </conditionalFormatting>
  <dataValidations disablePrompts="1" count="23">
    <dataValidation allowBlank="1" showInputMessage="1" showErrorMessage="1" prompt="Use this textbox below to add additional information (context) to this firewall change request." sqref="B31" xr:uid="{4A9E817D-AA5B-475B-B388-4B519F75F875}"/>
    <dataValidation allowBlank="1" showInputMessage="1" showErrorMessage="1" prompt="Used by the Servicedesk team only!" sqref="T11:U11" xr:uid="{AF098087-6003-4212-BE56-85BBB7820E50}"/>
    <dataValidation allowBlank="1" showInputMessage="1" showErrorMessage="1" prompt="Click on a cell for more information" sqref="I2:I7" xr:uid="{7083A620-FAFB-4A88-85F6-1C1FD547E3BF}"/>
    <dataValidation allowBlank="1" showInputMessage="1" showErrorMessage="1" prompt="Is this rule temporary or persistent?" sqref="Q12" xr:uid="{78EB638E-EEC8-4107-8A16-5CF1C301A013}"/>
    <dataValidation allowBlank="1" showInputMessage="1" showErrorMessage="1" prompt="Destination Network Zone" sqref="M12" xr:uid="{5C9F62CC-4A9A-4D4C-8ED0-59EAC74B635B}"/>
    <dataValidation allowBlank="1" showInputMessage="1" showErrorMessage="1" prompt="Source Network Zone (Optional)" sqref="G12" xr:uid="{D8E53AC9-3BB0-4BE1-99F3-0E45DCE5C920}"/>
    <dataValidation allowBlank="1" showInputMessage="1" showErrorMessage="1" prompt="The destination IP-address(es) of this connection." sqref="J12" xr:uid="{BE5F575C-659A-46F6-B8DD-6D88CC49D359}"/>
    <dataValidation allowBlank="1" showInputMessage="1" showErrorMessage="1" prompt="The Source IP-address(es) that initiates the connection." sqref="E12" xr:uid="{65C16AAD-27C9-42DF-A2EC-DA96D9F7C7FA}"/>
    <dataValidation allowBlank="1" showInputMessage="1" showErrorMessage="1" prompt="When using Azure Cloud." sqref="H12" xr:uid="{158EFAD2-19C1-4996-A19E-3ADA2BD1F83B}"/>
    <dataValidation allowBlank="1" showInputMessage="1" showErrorMessage="1" prompt="Transport protocol: TCP or UDP" sqref="N12" xr:uid="{580921E1-9958-44CB-AF8C-ABD753B4541F}"/>
    <dataValidation allowBlank="1" showInputMessage="1" showErrorMessage="1" prompt="Beknopte omschrijving van deze regel." sqref="S12" xr:uid="{28823FC2-EB23-4C9B-9845-BE6148010DFB}"/>
    <dataValidation allowBlank="1" showInputMessage="1" showErrorMessage="1" prompt="Wie is de leverancier dan wel fabrikant van deze applicatie." sqref="R12" xr:uid="{5FD28161-FA98-4FCF-AB6F-6D73723BA761}"/>
    <dataValidation allowBlank="1" showInputMessage="1" showErrorMessage="1" prompt="What are the service port(s) of the application? Max. 5 ports per fw rule." sqref="O12" xr:uid="{22A50551-3DA8-492B-8458-2E3E9007C136}"/>
    <dataValidation allowBlank="1" showInputMessage="1" showErrorMessage="1" prompt="Global Protect VPN only: Which MS AD group needs access." sqref="I12" xr:uid="{D0C0582F-B4BF-47D9-8A15-417BDA56356D}"/>
    <dataValidation allowBlank="1" showInputMessage="1" showErrorMessage="1" prompt="What is the network service that is allowed with this fw rule?" sqref="M12" xr:uid="{37F6CAA4-18E7-411C-BF37-A2A3C522C682}"/>
    <dataValidation allowBlank="1" showInputMessage="1" showErrorMessage="1" prompt="Traffic allow or deny?" sqref="P12" xr:uid="{D20EAB2B-06B3-41F6-AF26-C650807B7503}"/>
    <dataValidation allowBlank="1" showInputMessage="1" showErrorMessage="1" prompt="Destination Network Zone (Optional)" sqref="L12" xr:uid="{26A2D1FC-C64A-4E11-A991-07D96F56CB82}"/>
    <dataValidation type="whole" errorStyle="warning" allowBlank="1" showErrorMessage="1" errorTitle="Warning" error="Single Portnumber or Portrange (x-y)." sqref="O13" xr:uid="{6D435265-81DF-45C4-B425-782C37B7CF2E}">
      <formula1>1</formula1>
      <formula2>65535</formula2>
    </dataValidation>
    <dataValidation type="whole" errorStyle="warning" allowBlank="1" showInputMessage="1" showErrorMessage="1" errorTitle="Warning" error="Single Portnumber or Portrange (x-y)." sqref="O14:O28" xr:uid="{52B5E649-D56C-482B-89BF-DB5BF4C19D8E}">
      <formula1>1</formula1>
      <formula2>65535</formula2>
    </dataValidation>
    <dataValidation allowBlank="1" showInputMessage="1" showErrorMessage="1" prompt="This rule applies to this application." sqref="C12" xr:uid="{0C0565FB-0729-48B1-B878-87F8E421A8A0}"/>
    <dataValidation allowBlank="1" showInputMessage="1" showErrorMessage="1" prompt="The FQDN or EPG of the device/domain that initiates the connection." sqref="F12" xr:uid="{D21BFC2F-4BF5-487E-867E-C813323B09D4}"/>
    <dataValidation allowBlank="1" showInputMessage="1" showErrorMessage="1" prompt="The FQDN or EPG of the device/domain that the connection is pointed to." sqref="K12" xr:uid="{6CCA6EAD-AC05-4522-9B7B-D0AF13649484}"/>
    <dataValidation allowBlank="1" showInputMessage="1" showErrorMessage="1" prompt="Meaningful description for this firewall rule." sqref="D12" xr:uid="{88403644-7BA4-4394-A388-1843BFC8EB30}"/>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AF906EE1-EF98-40EA-BD1C-F9902274A00D}">
          <x14:formula1>
            <xm:f>Content!$A$9:$A$40</xm:f>
          </x14:formula1>
          <xm:sqref>M13:M28</xm:sqref>
        </x14:dataValidation>
        <x14:dataValidation type="list" allowBlank="1" showInputMessage="1" showErrorMessage="1" xr:uid="{609AEF82-8CA9-4DC8-9A8B-4EF239D4EB77}">
          <x14:formula1>
            <xm:f>Content!$F$3:$F$13</xm:f>
          </x14:formula1>
          <xm:sqref>L13:L28 G13:G28</xm:sqref>
        </x14:dataValidation>
        <x14:dataValidation type="list" allowBlank="1" showInputMessage="1" showErrorMessage="1" xr:uid="{D389CDDA-2A8E-474F-9F41-268D29899AFD}">
          <x14:formula1>
            <xm:f>Content!$D$12:$D$13</xm:f>
          </x14:formula1>
          <xm:sqref>Q13:Q28</xm:sqref>
        </x14:dataValidation>
        <x14:dataValidation type="list" allowBlank="1" showInputMessage="1" showErrorMessage="1" xr:uid="{A85FED59-7C7D-494C-B102-9EE1BC075A5F}">
          <x14:formula1>
            <xm:f>Content!$D$17:$D$20</xm:f>
          </x14:formula1>
          <xm:sqref>N13</xm:sqref>
        </x14:dataValidation>
        <x14:dataValidation type="list" allowBlank="1" showInputMessage="1" showErrorMessage="1" xr:uid="{F66D9172-BB46-4627-A27B-D1E4E1158FFE}">
          <x14:formula1>
            <xm:f>Content!$B$9:$B$18</xm:f>
          </x14:formula1>
          <xm:sqref>R13:R28</xm:sqref>
        </x14:dataValidation>
        <x14:dataValidation type="list" allowBlank="1" showInputMessage="1" showErrorMessage="1" xr:uid="{EAB0627D-286B-4E01-8E5D-A5E27BADF2DC}">
          <x14:formula1>
            <xm:f>Content!$D$9:$D$10</xm:f>
          </x14:formula1>
          <xm:sqref>P13:P28</xm:sqref>
        </x14:dataValidation>
        <x14:dataValidation type="list" allowBlank="1" showInputMessage="1" showErrorMessage="1" errorTitle="Warning" error="Please select the right protocol from the dropdown list." xr:uid="{0178C239-4A21-426D-8723-D813E8E69EE8}">
          <x14:formula1>
            <xm:f>Content!$D$17:$D$20</xm:f>
          </x14:formula1>
          <xm:sqref>N14:N28</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D19147D094A5C4B9EE833A1EED2612C" ma:contentTypeVersion="14" ma:contentTypeDescription="Een nieuw document maken." ma:contentTypeScope="" ma:versionID="5333e63d7b83baec4069c3a28c8c34d4">
  <xsd:schema xmlns:xsd="http://www.w3.org/2001/XMLSchema" xmlns:xs="http://www.w3.org/2001/XMLSchema" xmlns:p="http://schemas.microsoft.com/office/2006/metadata/properties" xmlns:ns2="f23b8b30-683d-441e-9178-d0acc9eab408" xmlns:ns3="6281e1c8-d010-4ee5-bcbd-da1b0129dfc8" targetNamespace="http://schemas.microsoft.com/office/2006/metadata/properties" ma:root="true" ma:fieldsID="c6f4855efbb15370c3f6ab1f93a61452" ns2:_="" ns3:_="">
    <xsd:import namespace="f23b8b30-683d-441e-9178-d0acc9eab408"/>
    <xsd:import namespace="6281e1c8-d010-4ee5-bcbd-da1b0129df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3b8b30-683d-441e-9178-d0acc9eab4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ef368baf-70a1-4a54-b386-ff5a79ea02f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281e1c8-d010-4ee5-bcbd-da1b0129dfc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9d1323-4077-4748-babe-317c6add969a}" ma:internalName="TaxCatchAll" ma:showField="CatchAllData" ma:web="6281e1c8-d010-4ee5-bcbd-da1b0129dfc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3b8b30-683d-441e-9178-d0acc9eab408">
      <Terms xmlns="http://schemas.microsoft.com/office/infopath/2007/PartnerControls"/>
    </lcf76f155ced4ddcb4097134ff3c332f>
    <TaxCatchAll xmlns="6281e1c8-d010-4ee5-bcbd-da1b0129dfc8" xsi:nil="true"/>
  </documentManagement>
</p:properties>
</file>

<file path=customXml/itemProps1.xml><?xml version="1.0" encoding="utf-8"?>
<ds:datastoreItem xmlns:ds="http://schemas.openxmlformats.org/officeDocument/2006/customXml" ds:itemID="{CC80099B-C5C2-4598-A8E1-D71DEC308D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3b8b30-683d-441e-9178-d0acc9eab408"/>
    <ds:schemaRef ds:uri="6281e1c8-d010-4ee5-bcbd-da1b0129df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CD404D-A18E-4E27-823E-FEE105E0DDB8}">
  <ds:schemaRefs>
    <ds:schemaRef ds:uri="http://schemas.microsoft.com/sharepoint/v3/contenttype/forms"/>
  </ds:schemaRefs>
</ds:datastoreItem>
</file>

<file path=customXml/itemProps3.xml><?xml version="1.0" encoding="utf-8"?>
<ds:datastoreItem xmlns:ds="http://schemas.openxmlformats.org/officeDocument/2006/customXml" ds:itemID="{808204F3-360A-43EC-AAFC-B36B26400DC4}">
  <ds:schemaRefs>
    <ds:schemaRef ds:uri="http://schemas.microsoft.com/office/2006/metadata/properties"/>
    <ds:schemaRef ds:uri="http://schemas.microsoft.com/office/infopath/2007/PartnerControls"/>
    <ds:schemaRef ds:uri="17872a55-e2c9-4ecc-a792-8faad205dc52"/>
    <ds:schemaRef ds:uri="056095ed-0dd5-4469-9d93-76a43d3d2e3d"/>
    <ds:schemaRef ds:uri="f23b8b30-683d-441e-9178-d0acc9eab408"/>
    <ds:schemaRef ds:uri="6281e1c8-d010-4ee5-bcbd-da1b0129dfc8"/>
  </ds:schemaRefs>
</ds:datastoreItem>
</file>

<file path=docMetadata/LabelInfo.xml><?xml version="1.0" encoding="utf-8"?>
<clbl:labelList xmlns:clbl="http://schemas.microsoft.com/office/2020/mipLabelMetadata">
  <clbl:label id="{37d76393-9a45-44bc-94e0-70aeaf3df879}" enabled="1" method="Standard" siteId="{39e1abd8-ed13-44eb-be42-1e20116ea98c}" removed="0"/>
  <clbl:label id="{5237ac88-813e-467d-90ba-6ce279e3edc8}" enabled="1" method="Standard" siteId="{27776982-d882-41b2-95ac-322f28d5a2c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Start</vt:lpstr>
      <vt:lpstr>2. Explanation</vt:lpstr>
      <vt:lpstr>3. Contact</vt:lpstr>
      <vt:lpstr>4. FW Rules (1-15)</vt:lpstr>
      <vt:lpstr>5. FW Rules (extended 16-30)</vt:lpstr>
      <vt:lpstr>4. FW Rules (extended 16-30)2</vt:lpstr>
      <vt:lpstr>6. Version History</vt:lpstr>
      <vt:lpstr>Content</vt:lpstr>
      <vt:lpstr>Services</vt:lpstr>
      <vt:lpstr>16-30 OLD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Salhi, Monia</dc:creator>
  <cp:keywords/>
  <dc:description/>
  <cp:lastModifiedBy>Stigter, Sjon</cp:lastModifiedBy>
  <cp:revision/>
  <dcterms:created xsi:type="dcterms:W3CDTF">2024-01-10T13:11:19Z</dcterms:created>
  <dcterms:modified xsi:type="dcterms:W3CDTF">2026-05-28T08:28:38Z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0x0101007D19147D094A5C4B9EE833A1EED2612C</vt:lpwstr>
  </property>
  <property fmtid="{D5CDD505-2E9C-101B-9397-08002B2CF9AE}" pid="3" name="MediaServiceImageTags">
    <vt:lpwstr/>
  </property>
  <property fmtid="{D5CDD505-2E9C-101B-9397-08002B2CF9AE}" pid="4" name="_ExtendedDescription">
    <vt:lpwstr/>
  </property>
</Properties>
</file>